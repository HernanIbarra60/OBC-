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CSC Y AMAZO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<sst xmlns="http://schemas.openxmlformats.org/spreadsheetml/2006/main" count="82" uniqueCount="82">
  <si>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LCSC y AMAZON</t>
  </si>
  <si>
    <t>Column1</t>
  </si>
  <si>
    <t>Column2</t>
  </si>
  <si>
    <t>Column3</t>
  </si>
  <si>
    <t>Column4</t>
  </si>
  <si>
    <t>Column5</t>
  </si>
  <si>
    <t>Column7</t>
  </si>
  <si>
    <t>Column8</t>
  </si>
  <si>
    <t>Column9</t>
  </si>
  <si>
    <t>Reference</t>
  </si>
  <si>
    <t>Qty</t>
  </si>
  <si>
    <t>Value</t>
  </si>
  <si>
    <t>LCSC#:</t>
  </si>
  <si>
    <t>Link</t>
  </si>
  <si>
    <t>Footprint</t>
  </si>
  <si>
    <t xml:space="preserve">Precio unitario</t>
  </si>
  <si>
    <t xml:space="preserve">Precio total</t>
  </si>
  <si>
    <t xml:space="preserve">Arducam Mini </t>
  </si>
  <si>
    <t xml:space="preserve">Module Camera Shield 5MP Plus OV5642</t>
  </si>
  <si>
    <t>https://www.amazon.com/Arducam-Module-Camera-Arduino-Mega2560/dp/B013JUKZ48/</t>
  </si>
  <si>
    <t>D6</t>
  </si>
  <si>
    <t>BAT760-7</t>
  </si>
  <si>
    <t>C124187</t>
  </si>
  <si>
    <t>https://www.lcsc.com/product-detail/C124187.html</t>
  </si>
  <si>
    <t>BAT760_7:SOD2513X120N</t>
  </si>
  <si>
    <t>U7,U8</t>
  </si>
  <si>
    <t xml:space="preserve">MK MKDV1GCL-ABF</t>
  </si>
  <si>
    <t>C51966230</t>
  </si>
  <si>
    <t>https://www.lcsc.com/product-detail/C51966230.html</t>
  </si>
  <si>
    <t>SOP2-16_300MIL_SF_MRN</t>
  </si>
  <si>
    <t>C0,C1,C2,C3,C5,C8,C9,C32,C34,C39,C40,C41,C42</t>
  </si>
  <si>
    <t>100nF</t>
  </si>
  <si>
    <t>C3000849</t>
  </si>
  <si>
    <t>https://www.lcsc.com/product-detail/C3000849.html?s_z=n_q_vishay%25200805%2520capacitor%2520100nf</t>
  </si>
  <si>
    <t>Capacitor_SMD:C_0805_2012Metric</t>
  </si>
  <si>
    <t>C4,C20,C31,C33</t>
  </si>
  <si>
    <t>1uF</t>
  </si>
  <si>
    <t>C6119928</t>
  </si>
  <si>
    <t>https://www.lcsc.com/product-detail/C6119928.html?s_z=n_q_p_vishayCAP%2520CER%25201uF%2520100V%2520X7R%25200805</t>
  </si>
  <si>
    <t>C6,C7,C37,C38</t>
  </si>
  <si>
    <t>10pF</t>
  </si>
  <si>
    <t>C913595</t>
  </si>
  <si>
    <t>https://www.lcsc.com/product-detail/C913595.html?s_z=n_q_murata%252010pf%2520capacitor%25200805</t>
  </si>
  <si>
    <t>C10,C35,C36</t>
  </si>
  <si>
    <t>2.2uF</t>
  </si>
  <si>
    <t>C2175468</t>
  </si>
  <si>
    <t>https://www.lcsc.com/product-detail/C2175468.html?s_z=n_q_VJ0805V225MXJTW1BC</t>
  </si>
  <si>
    <t>C11</t>
  </si>
  <si>
    <t>3.3nf</t>
  </si>
  <si>
    <t>C415302</t>
  </si>
  <si>
    <t>https://www.lcsc.com/product-detail/C415302.html?s_z=n_q_CGA4C2C0G1H332JT0Y0N</t>
  </si>
  <si>
    <t>C12,C18</t>
  </si>
  <si>
    <t>10nf</t>
  </si>
  <si>
    <t>C2169545</t>
  </si>
  <si>
    <t>https://www.lcsc.com/product-detail/C2169545.html?s_z=n_q_VJ0805Y103KXACW1BC</t>
  </si>
  <si>
    <t>C13,C14,C17,C23,C24,C25,C26,C27,C28,C29</t>
  </si>
  <si>
    <t>100nf</t>
  </si>
  <si>
    <t>https://www.lcsc.com/product-detail/C3000849.html?s_z=n_q_p_vishay%2520100%2520nf%25200805%2520cap</t>
  </si>
  <si>
    <t>C15,C16,C21</t>
  </si>
  <si>
    <t>10uf</t>
  </si>
  <si>
    <t>C162422</t>
  </si>
  <si>
    <t>https://www.lcsc.com/product-detail/C162422.html?s_z=n_q_p_vishay%252010%2520uf%25200805%2520cap%2520cer</t>
  </si>
  <si>
    <t>C19</t>
  </si>
  <si>
    <t>470nf</t>
  </si>
  <si>
    <t>C2174635</t>
  </si>
  <si>
    <t>https://www.lcsc.com/product-detail/C2174635.html?s_z=n_q_p_vishay%2520470%2520nf%25200805%2520cap%2520cer</t>
  </si>
  <si>
    <t>C22,C30</t>
  </si>
  <si>
    <t>4.7uf</t>
  </si>
  <si>
    <t>C162420</t>
  </si>
  <si>
    <t>https://www.lcsc.com/product-detail/C162420.html?s_z=n_q_p_murata%25204.7%2520uf%25200805%2520cap%2520cer</t>
  </si>
  <si>
    <t>IC1</t>
  </si>
  <si>
    <t>STM32F411CEU6</t>
  </si>
  <si>
    <t>C60420</t>
  </si>
  <si>
    <t>https://www.lcsc.com/product-detail/C60420.html?s_z=n_q_STM32F411CEU6</t>
  </si>
  <si>
    <t>STM32F411CEU7:QFN50P700X700X65-49N-D</t>
  </si>
  <si>
    <t>U6</t>
  </si>
  <si>
    <t>STM32F427VGT6</t>
  </si>
  <si>
    <t>C117815</t>
  </si>
  <si>
    <t>https://www.lcsc.com/product-detail/C117815.html?s_z=n_q_STM32F427VGT6</t>
  </si>
  <si>
    <t>LQFP100-14x14mm</t>
  </si>
  <si>
    <t>∑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</si>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</sst>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7">
    <font>
      <sz val="11.000000"/>
      <color theme="1"/>
      <name val="Calibri"/>
      <scheme val="minor"/>
    </font>
    <font>
      <sz val="11.000000"/>
      <color theme="1"/>
      <name val="Calibri"/>
    </font>
    <font>
      <b/>
      <sz val="11.000000"/>
      <color theme="0"/>
      <name val="Calibri"/>
    </font>
    <font>
      <sz val="10.000000"/>
      <color rgb="FF0F1111"/>
      <name val="Arial"/>
    </font>
    <font>
      <u/>
      <sz val="11.000000"/>
      <color theme="10"/>
      <name val="Calibri"/>
    </font>
    <font>
      <sz val="10.000000"/>
      <color indexed="63"/>
      <name val="Arial"/>
    </font>
    <font>
      <b/>
      <sz val="11.00000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4B083"/>
        <bgColor rgb="FFF4B08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 applyAlignment="1">
      <alignment readingOrder="0"/>
    </xf>
    <xf fontId="1" fillId="2" borderId="0" numFmtId="0" xfId="0" applyFont="1" applyFill="1"/>
    <xf fontId="2" fillId="3" borderId="1" numFmtId="0" xfId="0" applyFont="1" applyFill="1" applyBorder="1"/>
    <xf fontId="1" fillId="4" borderId="1" numFmtId="0" xfId="0" applyFont="1" applyFill="1" applyBorder="1"/>
    <xf fontId="1" fillId="5" borderId="1" numFmtId="0" xfId="0" applyFont="1" applyFill="1" applyBorder="1"/>
    <xf fontId="3" fillId="6" borderId="1" numFmtId="0" xfId="0" applyFont="1" applyFill="1" applyBorder="1" applyAlignment="1">
      <alignment vertical="center" wrapText="1"/>
    </xf>
    <xf fontId="1" fillId="6" borderId="1" numFmtId="0" xfId="0" applyFont="1" applyFill="1" applyBorder="1"/>
    <xf fontId="4" fillId="6" borderId="1" numFmtId="0" xfId="0" applyFont="1" applyFill="1" applyBorder="1"/>
    <xf fontId="1" fillId="6" borderId="1" numFmtId="164" xfId="0" applyNumberFormat="1" applyFont="1" applyFill="1" applyBorder="1"/>
    <xf fontId="1" fillId="7" borderId="1" numFmtId="164" xfId="0" applyNumberFormat="1" applyFont="1" applyFill="1" applyBorder="1"/>
    <xf fontId="1" fillId="8" borderId="1" numFmtId="0" xfId="0" applyFont="1" applyFill="1" applyBorder="1"/>
    <xf fontId="5" fillId="8" borderId="1" numFmtId="0" xfId="0" applyFont="1" applyFill="1" applyBorder="1"/>
    <xf fontId="4" fillId="8" borderId="1" numFmtId="0" xfId="0" applyFont="1" applyFill="1" applyBorder="1"/>
    <xf fontId="1" fillId="8" borderId="1" numFmtId="164" xfId="0" applyNumberFormat="1" applyFont="1" applyFill="1" applyBorder="1"/>
    <xf fontId="4" fillId="5" borderId="1" numFmtId="0" xfId="0" applyFont="1" applyFill="1" applyBorder="1"/>
    <xf fontId="1" fillId="5" borderId="1" numFmtId="164" xfId="0" applyNumberFormat="1" applyFont="1" applyFill="1" applyBorder="1"/>
    <xf fontId="1" fillId="0" borderId="1" numFmtId="0" xfId="0" applyFont="1" applyBorder="1"/>
    <xf fontId="5" fillId="0" borderId="1" numFmtId="0" xfId="0" applyFont="1" applyBorder="1"/>
    <xf fontId="4" fillId="0" borderId="1" numFmtId="0" xfId="0" applyFont="1" applyBorder="1"/>
    <xf fontId="1" fillId="0" borderId="1" numFmtId="164" xfId="0" applyNumberFormat="1" applyFont="1" applyBorder="1"/>
    <xf fontId="5" fillId="5" borderId="1" numFmtId="0" xfId="0" applyFont="1" applyFill="1" applyBorder="1"/>
    <xf fontId="5" fillId="5" borderId="1" numFmtId="0" xfId="0" applyFont="1" applyFill="1" applyBorder="1" applyAlignment="1">
      <alignment horizontal="left" vertical="center" wrapText="1"/>
    </xf>
    <xf fontId="5" fillId="0" borderId="1" numFmtId="0" xfId="0" applyFont="1" applyBorder="1" applyAlignment="1">
      <alignment horizontal="left" vertical="center" wrapText="1"/>
    </xf>
    <xf fontId="6" fillId="9" borderId="1" numFmtId="164" xfId="0" applyNumberFormat="1" applyFont="1" applyFill="1" applyBorder="1"/>
    <xf fontId="6" fillId="10" borderId="1" numFmtId="0" xfId="0" applyFont="1" applyFill="1" applyBorder="1"/>
    <xf fontId="6" fillId="10" borderId="1" numFmtId="164" xfId="0" applyNumberFormat="1" applyFont="1" applyFill="1" applyBorder="1"/>
    <xf fontId="6" fillId="0" borderId="0" numFmtId="0" xfId="0" applyFont="1"/>
  </cellXfs>
  <cellStyles count="1">
    <cellStyle name="Normal" xfId="0" builtinId="0"/>
  </cellStyles>
  <dxfs count="8">
    <dxf>
      <font/>
      <fill>
        <patternFill patternType="solid">
          <fgColor rgb="FFE2EFD9"/>
          <bgColor rgb="FFE2EFD9"/>
        </patternFill>
      </fill>
      <border>
        <left/>
        <right/>
        <top/>
        <bottom/>
        <diagonal/>
      </border>
    </dxf>
    <dxf>
      <font/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/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/>
      <fill>
        <patternFill patternType="solid">
          <fgColor rgb="FFE2EFD9"/>
          <bgColor rgb="FFE2EFD9"/>
        </patternFill>
      </fill>
      <border>
        <left/>
        <right/>
        <top/>
        <bottom/>
        <diagonal/>
      </border>
    </dxf>
    <dxf>
      <font/>
      <fill>
        <patternFill patternType="solid">
          <fgColor theme="9"/>
          <bgColor theme="9"/>
        </patternFill>
      </fill>
      <border>
        <left/>
        <right/>
        <top/>
        <bottom/>
        <diagonal/>
      </border>
    </dxf>
    <dxf>
      <font/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/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diagonal/>
        <vertical style="thin">
          <color rgb="FFD4D4D4"/>
        </vertical>
        <horizontal style="thin">
          <color rgb="FFD4D4D4"/>
        </horizontal>
      </border>
    </dxf>
  </dxfs>
  <tableStyles count="2" defaultTableStyle="TableStyleMedium2" defaultPivotStyle="PivotStyleLight16">
    <tableStyle name="MOUSER-style" pivot="0" count="3">
      <tableStyleElement type="firstRowStripe" size="1" dxfId="0"/>
      <tableStyleElement type="secondRowStripe" size="1" dxfId="1"/>
      <tableStyleElement type="totalRow" size="1" dxfId="2"/>
    </tableStyle>
    <tableStyle name="Copia de MOUSER-style" pivot="0" count="5">
      <tableStyleElement type="firstRowStripe" size="1" dxfId="3"/>
      <tableStyleElement type="headerRow" size="1" dxfId="4"/>
      <tableStyleElement type="secondRowStripe" size="1" dxfId="5"/>
      <tableStyleElement type="totalRow" size="1" dxfId="6"/>
      <tableStyleElement type="wholeTable" size="0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mazon.com/Arducam-Module-Camera-Arduino-Mega2560/dp/B013JUKZ48/" TargetMode="External"/><Relationship  Id="rId10" Type="http://schemas.openxmlformats.org/officeDocument/2006/relationships/hyperlink" Target="https://www.lcsc.com/product-detail/C3000849.html?s_z=n_q_p_vishay%2520100%2520nf%25200805%2520cap" TargetMode="External"/><Relationship  Id="rId11" Type="http://schemas.openxmlformats.org/officeDocument/2006/relationships/hyperlink" Target="https://www.lcsc.com/product-detail/C162422.html?s_z=n_q_p_vishay%252010%2520uf%25200805%2520cap%2520cer" TargetMode="External"/><Relationship  Id="rId12" Type="http://schemas.openxmlformats.org/officeDocument/2006/relationships/hyperlink" Target="https://www.lcsc.com/product-detail/C2174635.html?s_z=n_q_p_vishay%2520470%2520nf%25200805%2520cap%2520cer" TargetMode="External"/><Relationship  Id="rId13" Type="http://schemas.openxmlformats.org/officeDocument/2006/relationships/hyperlink" Target="https://www.lcsc.com/product-detail/C162420.html?s_z=n_q_p_murata%25204.7%2520uf%25200805%2520cap%2520cer" TargetMode="External"/><Relationship  Id="rId14" Type="http://schemas.openxmlformats.org/officeDocument/2006/relationships/hyperlink" Target="https://www.lcsc.com/product-detail/C60420.html?s_z=n_q_STM32F411CEU6" TargetMode="External"/><Relationship  Id="rId15" Type="http://schemas.openxmlformats.org/officeDocument/2006/relationships/hyperlink" Target="https://www.lcsc.com/product-detail/C117815.html?s_z=n_q_STM32F427VGT6" TargetMode="External"/><Relationship  Id="rId2" Type="http://schemas.openxmlformats.org/officeDocument/2006/relationships/hyperlink" Target="https://www.lcsc.com/product-detail/C124187.html" TargetMode="External"/><Relationship  Id="rId3" Type="http://schemas.openxmlformats.org/officeDocument/2006/relationships/hyperlink" Target="https://www.lcsc.com/product-detail/C51966230.html" TargetMode="External"/><Relationship  Id="rId4" Type="http://schemas.openxmlformats.org/officeDocument/2006/relationships/hyperlink" Target="https://www.lcsc.com/product-detail/C3000849.html?s_z=n_q_vishay%25200805%2520capacitor%2520100nf" TargetMode="External"/><Relationship  Id="rId5" Type="http://schemas.openxmlformats.org/officeDocument/2006/relationships/hyperlink" Target="https://www.lcsc.com/product-detail/C6119928.html?s_z=n_q_p_vishayCAP%2520CER%25201uF%2520100V%2520X7R%25200805" TargetMode="External"/><Relationship  Id="rId6" Type="http://schemas.openxmlformats.org/officeDocument/2006/relationships/hyperlink" Target="https://www.lcsc.com/product-detail/C913595.html?s_z=n_q_murata%252010pf%2520capacitor%25200805" TargetMode="External"/><Relationship  Id="rId7" Type="http://schemas.openxmlformats.org/officeDocument/2006/relationships/hyperlink" Target="https://www.lcsc.com/product-detail/C2175468.html?s_z=n_q_VJ0805V225MXJTW1BC" TargetMode="External"/><Relationship  Id="rId8" Type="http://schemas.openxmlformats.org/officeDocument/2006/relationships/hyperlink" Target="https://www.lcsc.com/product-detail/C415302.html?s_z=n_q_CGA4C2C0G1H332JT0Y0N" TargetMode="External"/><Relationship  Id="rId9" Type="http://schemas.openxmlformats.org/officeDocument/2006/relationships/hyperlink" Target="https://www.lcsc.com/product-detail/C2169545.html?s_z=n_q_VJ0805Y103KXACW1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40.57"/>
    <col customWidth="1" min="2" max="2" width="8.5700000000000003"/>
    <col customWidth="1" min="3" max="3" width="36"/>
    <col customWidth="1" min="4" max="4" width="24.57"/>
    <col customWidth="1" min="5" max="5" width="162.86000000000001"/>
    <col customWidth="1" min="6" max="6" width="40.859999999999999"/>
    <col customWidth="1" min="7" max="7" width="12.859999999999999"/>
    <col customWidth="1" min="8" max="8" width="10.43"/>
    <col customWidth="1" min="9" max="26" width="8.7100000000000009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14.25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 t="s">
        <v>15</v>
      </c>
      <c r="H4" s="4" t="s">
        <v>16</v>
      </c>
    </row>
    <row r="5" ht="14.25" customHeight="1">
      <c r="A5" s="5" t="s">
        <v>17</v>
      </c>
      <c r="B5" s="6">
        <v>1</v>
      </c>
      <c r="C5" s="6" t="s">
        <v>18</v>
      </c>
      <c r="D5" s="6"/>
      <c r="E5" s="7" t="s">
        <v>19</v>
      </c>
      <c r="F5" s="6"/>
      <c r="G5" s="8">
        <v>40</v>
      </c>
      <c r="H5" s="9">
        <f t="shared" ref="H5:H19" si="0">(G5*B5)</f>
        <v>40</v>
      </c>
    </row>
    <row r="6" ht="14.25" customHeight="1">
      <c r="A6" s="10" t="s">
        <v>20</v>
      </c>
      <c r="B6" s="10">
        <v>5</v>
      </c>
      <c r="C6" s="10" t="s">
        <v>21</v>
      </c>
      <c r="D6" s="11" t="s">
        <v>22</v>
      </c>
      <c r="E6" s="12" t="s">
        <v>23</v>
      </c>
      <c r="F6" s="10" t="s">
        <v>24</v>
      </c>
      <c r="G6" s="13">
        <v>0.25080000000000002</v>
      </c>
      <c r="H6" s="9">
        <f t="shared" si="0"/>
        <v>1.254</v>
      </c>
    </row>
    <row r="7" ht="14.25" customHeight="1">
      <c r="A7" s="4" t="s">
        <v>25</v>
      </c>
      <c r="B7" s="4">
        <v>3</v>
      </c>
      <c r="C7" s="4" t="s">
        <v>26</v>
      </c>
      <c r="D7" s="4" t="s">
        <v>27</v>
      </c>
      <c r="E7" s="14" t="s">
        <v>28</v>
      </c>
      <c r="F7" s="4" t="s">
        <v>29</v>
      </c>
      <c r="G7" s="15">
        <v>5.0860000000000003</v>
      </c>
      <c r="H7" s="9">
        <f t="shared" si="0"/>
        <v>15.257999999999999</v>
      </c>
    </row>
    <row r="8" ht="14.25" customHeight="1">
      <c r="A8" s="16" t="s">
        <v>30</v>
      </c>
      <c r="B8" s="16">
        <v>20</v>
      </c>
      <c r="C8" s="16" t="s">
        <v>31</v>
      </c>
      <c r="D8" s="17" t="s">
        <v>32</v>
      </c>
      <c r="E8" s="18" t="s">
        <v>33</v>
      </c>
      <c r="F8" s="16" t="s">
        <v>34</v>
      </c>
      <c r="G8" s="19">
        <v>0.0154</v>
      </c>
      <c r="H8" s="9">
        <f t="shared" si="0"/>
        <v>0.308</v>
      </c>
    </row>
    <row r="9" ht="14.25" customHeight="1">
      <c r="A9" s="4" t="s">
        <v>35</v>
      </c>
      <c r="B9" s="4">
        <v>5</v>
      </c>
      <c r="C9" s="4" t="s">
        <v>36</v>
      </c>
      <c r="D9" s="20" t="s">
        <v>37</v>
      </c>
      <c r="E9" s="14" t="s">
        <v>38</v>
      </c>
      <c r="F9" s="4" t="s">
        <v>34</v>
      </c>
      <c r="G9" s="15">
        <v>0.094299999999999995</v>
      </c>
      <c r="H9" s="9">
        <f t="shared" si="0"/>
        <v>0.47149999999999997</v>
      </c>
    </row>
    <row r="10" ht="14.25" customHeight="1">
      <c r="A10" s="16" t="s">
        <v>39</v>
      </c>
      <c r="B10" s="16">
        <v>10</v>
      </c>
      <c r="C10" s="16" t="s">
        <v>40</v>
      </c>
      <c r="D10" s="17" t="s">
        <v>41</v>
      </c>
      <c r="E10" s="18" t="s">
        <v>42</v>
      </c>
      <c r="F10" s="16" t="s">
        <v>34</v>
      </c>
      <c r="G10" s="19">
        <v>0.057599999999999998</v>
      </c>
      <c r="H10" s="9">
        <f t="shared" si="0"/>
        <v>0.57599999999999996</v>
      </c>
    </row>
    <row r="11" ht="14.25" customHeight="1">
      <c r="A11" s="4" t="s">
        <v>43</v>
      </c>
      <c r="B11" s="4">
        <v>5</v>
      </c>
      <c r="C11" s="4" t="s">
        <v>44</v>
      </c>
      <c r="D11" s="20" t="s">
        <v>45</v>
      </c>
      <c r="E11" s="14" t="s">
        <v>46</v>
      </c>
      <c r="F11" s="4" t="s">
        <v>34</v>
      </c>
      <c r="G11" s="15">
        <v>0.02</v>
      </c>
      <c r="H11" s="9">
        <f t="shared" si="0"/>
        <v>0.10000000000000001</v>
      </c>
    </row>
    <row r="12" ht="14.25" customHeight="1">
      <c r="A12" s="16" t="s">
        <v>47</v>
      </c>
      <c r="B12" s="16">
        <v>10</v>
      </c>
      <c r="C12" s="16" t="s">
        <v>48</v>
      </c>
      <c r="D12" s="17" t="s">
        <v>49</v>
      </c>
      <c r="E12" s="18" t="s">
        <v>50</v>
      </c>
      <c r="F12" s="16" t="s">
        <v>34</v>
      </c>
      <c r="G12" s="19">
        <v>0.047600000000000003</v>
      </c>
      <c r="H12" s="9">
        <f t="shared" si="0"/>
        <v>0.47599999999999998</v>
      </c>
    </row>
    <row r="13" ht="14.25" customHeight="1">
      <c r="A13" s="4" t="s">
        <v>51</v>
      </c>
      <c r="B13" s="4">
        <v>10</v>
      </c>
      <c r="C13" s="4" t="s">
        <v>52</v>
      </c>
      <c r="D13" s="20" t="s">
        <v>53</v>
      </c>
      <c r="E13" s="14" t="s">
        <v>54</v>
      </c>
      <c r="F13" s="4" t="s">
        <v>34</v>
      </c>
      <c r="G13" s="15">
        <v>0.035000000000000003</v>
      </c>
      <c r="H13" s="9">
        <f t="shared" si="0"/>
        <v>0.34999999999999998</v>
      </c>
    </row>
    <row r="14" ht="14.25" customHeight="1">
      <c r="A14" s="16" t="s">
        <v>55</v>
      </c>
      <c r="B14" s="16">
        <v>20</v>
      </c>
      <c r="C14" s="16" t="s">
        <v>56</v>
      </c>
      <c r="D14" s="17" t="s">
        <v>32</v>
      </c>
      <c r="E14" s="18" t="s">
        <v>57</v>
      </c>
      <c r="F14" s="16" t="s">
        <v>34</v>
      </c>
      <c r="G14" s="19">
        <v>0.0154</v>
      </c>
      <c r="H14" s="9">
        <f t="shared" si="0"/>
        <v>0.308</v>
      </c>
    </row>
    <row r="15" ht="14.25" customHeight="1">
      <c r="A15" s="4" t="s">
        <v>58</v>
      </c>
      <c r="B15" s="4">
        <v>5</v>
      </c>
      <c r="C15" s="4" t="s">
        <v>59</v>
      </c>
      <c r="D15" s="21" t="s">
        <v>60</v>
      </c>
      <c r="E15" s="14" t="s">
        <v>61</v>
      </c>
      <c r="F15" s="4" t="s">
        <v>34</v>
      </c>
      <c r="G15" s="15">
        <v>0.15140000000000001</v>
      </c>
      <c r="H15" s="9">
        <f t="shared" si="0"/>
        <v>0.75700000000000001</v>
      </c>
    </row>
    <row r="16" ht="14.25" customHeight="1">
      <c r="A16" s="16" t="s">
        <v>62</v>
      </c>
      <c r="B16" s="16">
        <v>5</v>
      </c>
      <c r="C16" s="16" t="s">
        <v>63</v>
      </c>
      <c r="D16" s="22" t="s">
        <v>64</v>
      </c>
      <c r="E16" s="18" t="s">
        <v>65</v>
      </c>
      <c r="F16" s="16" t="s">
        <v>34</v>
      </c>
      <c r="G16" s="19">
        <v>0.010800000000000001</v>
      </c>
      <c r="H16" s="9">
        <f t="shared" si="0"/>
        <v>0.053999999999999999</v>
      </c>
    </row>
    <row r="17" ht="14.25" customHeight="1">
      <c r="A17" s="4" t="s">
        <v>66</v>
      </c>
      <c r="B17" s="4">
        <v>5</v>
      </c>
      <c r="C17" s="4" t="s">
        <v>67</v>
      </c>
      <c r="D17" s="20" t="s">
        <v>68</v>
      </c>
      <c r="E17" s="14" t="s">
        <v>69</v>
      </c>
      <c r="F17" s="4" t="s">
        <v>34</v>
      </c>
      <c r="G17" s="15">
        <v>0.1147</v>
      </c>
      <c r="H17" s="9">
        <f t="shared" si="0"/>
        <v>0.57350000000000001</v>
      </c>
    </row>
    <row r="18" ht="14.25" customHeight="1">
      <c r="A18" s="10" t="s">
        <v>70</v>
      </c>
      <c r="B18" s="10">
        <v>2</v>
      </c>
      <c r="C18" s="10" t="s">
        <v>71</v>
      </c>
      <c r="D18" s="11" t="s">
        <v>72</v>
      </c>
      <c r="E18" s="12" t="s">
        <v>73</v>
      </c>
      <c r="F18" s="10" t="s">
        <v>74</v>
      </c>
      <c r="G18" s="13">
        <v>6.1120999999999999</v>
      </c>
      <c r="H18" s="9">
        <f t="shared" si="0"/>
        <v>12.2242</v>
      </c>
    </row>
    <row r="19" ht="14.25" customHeight="1">
      <c r="A19" s="4" t="s">
        <v>75</v>
      </c>
      <c r="B19" s="4">
        <v>2</v>
      </c>
      <c r="C19" s="4" t="s">
        <v>76</v>
      </c>
      <c r="D19" s="20" t="s">
        <v>77</v>
      </c>
      <c r="E19" s="14" t="s">
        <v>78</v>
      </c>
      <c r="F19" s="4" t="s">
        <v>79</v>
      </c>
      <c r="G19" s="15">
        <v>9.1987000000000005</v>
      </c>
      <c r="H19" s="9">
        <f t="shared" si="0"/>
        <v>18.397400000000001</v>
      </c>
    </row>
    <row r="20" ht="14.25" customHeight="1">
      <c r="G20" s="23" t="s">
        <v>80</v>
      </c>
      <c r="H20" s="23">
        <f>SUM(H5:H19)</f>
        <v>91.107600000000005</v>
      </c>
    </row>
    <row r="21" ht="14.25" customHeight="1"/>
    <row r="22" ht="14.25" customHeight="1"/>
    <row r="23" ht="14.25" customHeight="1">
      <c r="G23" s="24" t="s">
        <v>81</v>
      </c>
      <c r="H23" s="25">
        <f>(H20+55.28)</f>
        <v>146.38759999999999</v>
      </c>
      <c r="I23" s="2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</hyperlinks>
  <printOptions headings="0" gridLines="0"/>
  <pageMargins left="0.69999999999999996" right="0.69999999999999996" top="0.75" bottom="0.75" header="0" footer="0"/>
  <pageSetup paperSize="66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</dc:creator>
  <cp:revision>1</cp:revision>
  <dcterms:created xsi:type="dcterms:W3CDTF">2026-05-04T22:24:36Z</dcterms:created>
  <dcterms:modified xsi:type="dcterms:W3CDTF">2026-09-22T12:46:47Z</dcterms:modified>
</cp:coreProperties>
</file>