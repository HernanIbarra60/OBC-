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LCSC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<sst xmlns="http://schemas.openxmlformats.org/spreadsheetml/2006/main" count="20" uniqueCount="20">
  <si>
    <t>Descripcion</t>
  </si>
  <si>
    <t xml:space="preserve">Mfr. Number Part </t>
  </si>
  <si>
    <t>Cantidad</t>
  </si>
  <si>
    <t xml:space="preserve">Precio Unit.</t>
  </si>
  <si>
    <t xml:space="preserve">Precio Total</t>
  </si>
  <si>
    <t>Link</t>
  </si>
  <si>
    <t>STM32F103</t>
  </si>
  <si>
    <t>STM32F103RET6</t>
  </si>
  <si>
    <t>https://www.lcsc.com/product-detail/C8322.html?s_z=n_q_STM32F103RET6&amp;spm=wm.fly.bg.0.xh&amp;lcsc_vid=ElQMUABWQwdZXgdfQ1MKBV1eQVddU1VWEVJZAwdURgMxVlNeT1NXVVZUT1FZXzsOAxUeFF5JWBYZEEoKFBINSQcJGk4NBhADEA4cHktRRFhADxALGw%3D%3D</t>
  </si>
  <si>
    <t>OCP</t>
  </si>
  <si>
    <t>TPS2553QDBVRQ1</t>
  </si>
  <si>
    <t>https://www.lcsc.com/product-detail/C130055.html?s_z=n_q_TPS2553QDBVRQ1&amp;spm=wm.fly.bg.0.xh&amp;lcsc_vid=ElQMUABWQwdZXgdfQ1MKBV1eQVddU1VWEVJZAwdURgMxVlNeT1NXVFFTTlJeVTsOAxUeFF5JWBYZEEoKFBINSQcJGk4NBhADEA4cHktXRlZeSQwSGg0%3D</t>
  </si>
  <si>
    <t>Ferrita</t>
  </si>
  <si>
    <t>MPZ1608S601ATA00</t>
  </si>
  <si>
    <t>https://www.lcsc.com/product-detail/C107335.html?s_z=n_q_MPZ1608S601ATA00&amp;spm=wm.fly.bg.0.xh&amp;lcsc_vid=ElQMUABWQwdZXgdfQ1MKBV1eQVddU1VWEVJZAwdURgMxVlNeT1NXVFdeR1heVjsOAxUeFF5JWBYZEEoKFBINSQcJGk4eFQsCAgIaSgADAwAHC0slT1JcVUoOAwwC</t>
  </si>
  <si>
    <t xml:space="preserve">CAN BUS</t>
  </si>
  <si>
    <t>SN65HVD230DR</t>
  </si>
  <si>
    <t>https://www.lcsc.com/product-detail/C12084.html?s_z=n_q_C12084&amp;globalKeyword=C12084</t>
  </si>
  <si>
    <t xml:space="preserve">Puente UART USB CP2102N-A02-GQFN28</t>
  </si>
  <si>
    <t xml:space="preserve">SILICON LABS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</si>
</sst>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[$$]#,##0.00"/>
    <numFmt numFmtId="165" formatCode="#,##0[$Gs.]"/>
  </numFmts>
  <fonts count="8">
    <font>
      <sz val="10.000000"/>
      <color indexed="64"/>
      <name val="Arial"/>
      <scheme val="minor"/>
    </font>
    <font>
      <color theme="1"/>
      <name val="Arial"/>
    </font>
    <font>
      <u/>
      <color indexed="4"/>
    </font>
    <font>
      <b/>
      <color theme="1"/>
      <name val="Arial"/>
    </font>
    <font>
      <b/>
      <color rgb="FFE69138"/>
      <name val="Arial"/>
    </font>
    <font>
      <b/>
      <sz val="11.000000"/>
      <color rgb="FFCC0000"/>
      <name val="Arial"/>
    </font>
    <font>
      <b/>
      <sz val="11.000000"/>
      <color rgb="FF660000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 applyAlignment="1">
      <alignment readingOrder="0"/>
    </xf>
    <xf fontId="1" fillId="0" borderId="0" numFmtId="0" xfId="0" applyFont="1" applyAlignment="1">
      <alignment horizontal="center"/>
    </xf>
    <xf fontId="1" fillId="2" borderId="0" numFmtId="0" xfId="0" applyFont="1" applyFill="1"/>
    <xf fontId="1" fillId="2" borderId="0" numFmtId="0" xfId="0" applyFont="1" applyFill="1" applyAlignment="1">
      <alignment horizontal="center"/>
    </xf>
    <xf fontId="1" fillId="2" borderId="0" numFmtId="164" xfId="0" applyNumberFormat="1" applyFont="1" applyFill="1" applyAlignment="1">
      <alignment horizontal="center"/>
    </xf>
    <xf fontId="2" fillId="0" borderId="0" numFmtId="0" xfId="0" applyFont="1"/>
    <xf fontId="3" fillId="0" borderId="0" numFmtId="164" xfId="0" applyNumberFormat="1" applyFont="1" applyAlignment="1">
      <alignment horizontal="center"/>
    </xf>
    <xf fontId="4" fillId="0" borderId="0" numFmtId="164" xfId="0" applyNumberFormat="1" applyFont="1" applyAlignment="1">
      <alignment horizontal="center"/>
    </xf>
    <xf fontId="1" fillId="0" borderId="0" numFmtId="0" xfId="0" applyFont="1"/>
    <xf fontId="5" fillId="0" borderId="0" numFmtId="165" xfId="0" applyNumberFormat="1" applyFont="1" applyAlignment="1">
      <alignment horizontal="center"/>
    </xf>
    <xf fontId="5" fillId="0" borderId="0" numFmtId="165" xfId="0" applyNumberFormat="1" applyFont="1" applyAlignment="1">
      <alignment horizontal="right"/>
    </xf>
    <xf fontId="6" fillId="2" borderId="0" numFmtId="165" xfId="0" applyNumberFormat="1" applyFont="1" applyFill="1" applyAlignment="1">
      <alignment horizontal="center"/>
    </xf>
    <xf fontId="7" fillId="0" borderId="0" numFmtId="0" xfId="0" applyFont="1" applyAlignment="1">
      <alignment readingOrder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www.lcsc.com/product-detail/C8322.html?s_z=n_q_STM32F103RET6&amp;spm=wm.fly.bg.0.xh&amp;lcsc_vid=ElQMUABWQwdZXgdfQ1MKBV1eQVddU1VWEVJZAwdURgMxVlNeT1NXVVZUT1FZXzsOAxUeFF5JWBYZEEoKFBINSQcJGk4NBhADEA4cHktRRFhADxALGw%3D%3D" TargetMode="External"/><Relationship  Id="rId2" Type="http://schemas.openxmlformats.org/officeDocument/2006/relationships/hyperlink" Target="https://www.lcsc.com/product-detail/C130055.html?s_z=n_q_TPS2553QDBVRQ1&amp;spm=wm.fly.bg.0.xh&amp;lcsc_vid=ElQMUABWQwdZXgdfQ1MKBV1eQVddU1VWEVJZAwdURgMxVlNeT1NXVFFTTlJeVTsOAxUeFF5JWBYZEEoKFBINSQcJGk4NBhADEA4cHktXRlZeSQwSGg0%3D" TargetMode="External"/><Relationship  Id="rId3" Type="http://schemas.openxmlformats.org/officeDocument/2006/relationships/hyperlink" Target="https://www.lcsc.com/product-detail/C107335.html?s_z=n_q_MPZ1608S601ATA00&amp;spm=wm.fly.bg.0.xh&amp;lcsc_vid=ElQMUABWQwdZXgdfQ1MKBV1eQVddU1VWEVJZAwdURgMxVlNeT1NXVFdeR1heVjsOAxUeFF5JWBYZEEoKFBINSQcJGk4eFQsCAgIaSgADAwAHC0slT1JcVUoOAwwC" TargetMode="External"/><Relationship  Id="rId4" Type="http://schemas.openxmlformats.org/officeDocument/2006/relationships/hyperlink" Target="https://www.lcsc.com/product-detail/C12084.html?s_z=n_q_C12084&amp;globalKeyword=C1208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" customHeight="1"/>
  <cols>
    <col customWidth="1" min="1" max="2" width="38.130000000000003"/>
    <col customWidth="1" min="3" max="6" width="12.63000000000000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 t="s">
        <v>6</v>
      </c>
      <c r="B2" s="2" t="s">
        <v>7</v>
      </c>
      <c r="C2" s="3">
        <v>2</v>
      </c>
      <c r="D2" s="4">
        <v>4.29</v>
      </c>
      <c r="E2" s="4">
        <f t="shared" ref="E2:E5" si="0">C2*D2</f>
        <v>8.5800000000000001</v>
      </c>
      <c r="F2" s="5" t="s">
        <v>8</v>
      </c>
    </row>
    <row r="3" ht="15.75" customHeight="1">
      <c r="A3" s="2" t="s">
        <v>9</v>
      </c>
      <c r="B3" s="2" t="s">
        <v>10</v>
      </c>
      <c r="C3" s="3">
        <v>3</v>
      </c>
      <c r="D3" s="4">
        <v>3.7799999999999998</v>
      </c>
      <c r="E3" s="4">
        <f t="shared" si="0"/>
        <v>11.34</v>
      </c>
      <c r="F3" s="5" t="s">
        <v>11</v>
      </c>
    </row>
    <row r="4" ht="15.75" customHeight="1">
      <c r="A4" s="2" t="s">
        <v>12</v>
      </c>
      <c r="B4" s="2" t="s">
        <v>13</v>
      </c>
      <c r="C4" s="3">
        <v>10</v>
      </c>
      <c r="D4" s="4">
        <v>0.018499999999999999</v>
      </c>
      <c r="E4" s="4">
        <f t="shared" si="0"/>
        <v>0.185</v>
      </c>
      <c r="F4" s="5" t="s">
        <v>14</v>
      </c>
    </row>
    <row r="5" ht="15.75" customHeight="1">
      <c r="A5" s="2" t="s">
        <v>15</v>
      </c>
      <c r="B5" s="2" t="s">
        <v>16</v>
      </c>
      <c r="C5" s="3">
        <v>2</v>
      </c>
      <c r="D5" s="4">
        <v>0.69999999999999996</v>
      </c>
      <c r="E5" s="4">
        <f t="shared" si="0"/>
        <v>1.3999999999999999</v>
      </c>
      <c r="F5" s="5" t="s">
        <v>17</v>
      </c>
    </row>
    <row r="6" ht="15.75" customHeight="1">
      <c r="E6" s="6">
        <f>SUM(E2:E5)</f>
        <v>21.504999999999999</v>
      </c>
    </row>
    <row r="7" ht="15.75" customHeight="1"/>
    <row r="8" ht="15.75" customHeight="1">
      <c r="E8" s="7" t="e">
        <f>E6+#REF!</f>
        <v>#REF!</v>
      </c>
      <c r="F8" s="8">
        <v>7000</v>
      </c>
    </row>
    <row r="9" ht="15.75" customHeight="1">
      <c r="E9" s="9" t="e">
        <f>E8*F8</f>
        <v>#REF!</v>
      </c>
      <c r="F9" s="10">
        <v>174728</v>
      </c>
    </row>
    <row r="10" ht="15.75" customHeight="1">
      <c r="E10" s="11" t="e">
        <f>E9+F9</f>
        <v>#REF!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>
      <c r="A17" s="12" t="s">
        <v>18</v>
      </c>
      <c r="B17" s="12" t="s">
        <v>19</v>
      </c>
      <c r="C17" s="12">
        <v>2</v>
      </c>
      <c r="D17" s="12">
        <v>1.8400000000000001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F2"/>
    <hyperlink r:id="rId2" ref="F3"/>
    <hyperlink r:id="rId3" ref="F4"/>
    <hyperlink r:id="rId4" ref="F5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