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CB - LCSC" sheetId="1" r:id="rId5"/>
    <sheet state="visible" name="Main PCB - Mouser" sheetId="2" r:id="rId6"/>
    <sheet state="visible" name="Heater PCB - LCSC" sheetId="3" r:id="rId7"/>
    <sheet state="visible" name="Heater PCB - Mouser" sheetId="4" r:id="rId8"/>
    <sheet state="visible" name="Otros" sheetId="5" r:id="rId9"/>
    <sheet state="visible" name="Costo Total" sheetId="6" r:id="rId10"/>
  </sheets>
  <definedNames/>
  <calcPr/>
</workbook>
</file>

<file path=xl/sharedStrings.xml><?xml version="1.0" encoding="utf-8"?>
<sst xmlns="http://schemas.openxmlformats.org/spreadsheetml/2006/main" count="129" uniqueCount="96">
  <si>
    <t>Cant. Min.</t>
  </si>
  <si>
    <t xml:space="preserve">Cant. Max. </t>
  </si>
  <si>
    <t>Componente</t>
  </si>
  <si>
    <t>Precio Unitario</t>
  </si>
  <si>
    <t>Precio Total</t>
  </si>
  <si>
    <t>Link de compra</t>
  </si>
  <si>
    <t>TPS2553DBVR-1</t>
  </si>
  <si>
    <t>TLV3701QDBVRQ1</t>
  </si>
  <si>
    <t>KDV08DR050ET</t>
  </si>
  <si>
    <t>https://www.lcsc.com/product-detail/C111738.html?s_z=n_q_TPS2553&amp;spm=wm.fly.bg.0.xh&amp;lcsc_vid=T1JbAlYFTgRdVVNVQQQLVgdWFlQLAV0ARwcNV1YHTwcxVlNeTlNdU1ZTRlhWVzsOAxUeFF5JWBYZEEoKFBINSQcJGk4%3D</t>
  </si>
  <si>
    <t>https://www.lcsc.com/product-detail/C140261.html?s_z=n_q_TLV3701QDBVRQ1&amp;spm=wm.fly.bg.0.xh&amp;lcsc_vid=T1JbAlYFTgRdVVNVQQQLVgdWFlQLAV0ARwcNV1YHTwcxVlNeTlJfUF1QQllWXzsOAxUeFF5JWBYZEEoKFBINSQcJGk4%3D</t>
  </si>
  <si>
    <t>https://www.mouser.com/es/ProductDetail/Ohmite/KDV08DR050ET?qs=l4Gc20tDgJIdJbUC0mDeTQ%3D%3D</t>
  </si>
  <si>
    <t>BQ29209TDRBRQ1</t>
  </si>
  <si>
    <t>CRCW080510K0FKEAHP</t>
  </si>
  <si>
    <t>TMP117AIDRVR</t>
  </si>
  <si>
    <t>https://www.mouser.com/es/ProductDetail/Texas-Instruments/BQ29209TDRBRQ1?qs=q3hS8dlu9yIxllPDLAJvfA%3D%3D</t>
  </si>
  <si>
    <t>https://www.lcsc.com/product-detail/C313823.html?s_z=n_q_CRCW080510K0FKEAHP&amp;spm=wm.fly.bg.0.xh&amp;lcsc_vid=T1JbAlYFTgRdVVNVQQQLVgdWFlQLAV0ARwcNV1YHTwcxVlNeTlNdXlZWQFFaVzsOAxUeFF5JWBYZEEoKFBINSQcJGk4%3D</t>
  </si>
  <si>
    <t>APT2012SYCK/J3-PRV</t>
  </si>
  <si>
    <t>https://www.lcsc.com/product-detail/C699536.html?s_z=n_q_TMP117AIDRVR&amp;spm=wm.fly.bg.0.xh&amp;lcsc_vid=RgNaXlNUQFAPVQJVEVcKU10ET1IMX1wHRVUKAlJXTgMxVlNeQVJcV1xUQVVWUzsOAxUeFF5JWBYZEEoKFBINSQcJGk4%3D</t>
  </si>
  <si>
    <t>APT2012SYCK/J3-PRV Kingbright | Mouser</t>
  </si>
  <si>
    <t>501568-0207</t>
  </si>
  <si>
    <t>https://www.mouser.com/es/ProductDetail/Molex/501568-0207?qs=uEWtSLL707WbFjnit2JOEg%3D%3D</t>
  </si>
  <si>
    <t>GRT31CC71E226ME13L</t>
  </si>
  <si>
    <t>MOLEX 436500312</t>
  </si>
  <si>
    <t>https://www.lcsc.com/product-detail/C114109.html?s_z=n_q_p_43650-0311&amp;spm=wm.ssy.bg.0.xh&amp;lcsc_vid=QVkPXlcDFlFWUlICRlMLUgBQFlFaBQIAElMPBAVVEQcxVlNeT1BWVVNVR1BbUDsOAxUeFF5JWBYZEEoKFBINSQcJGk4%3D</t>
  </si>
  <si>
    <t>https://www.lcsc.com/product-detail/C20044576.html?s_z=n_q_GRT31CC71E226ME13L&amp;spm=wm.fly.bg.0.xh&amp;lcsc_vid=T1JbAlYFTgRdVVNVQQQLVgdWFlQLAV0ARwcNV1YHTwcxVlNeTlNaV11RR1NaUTsOAxUeFF5JWBYZEEoKFBINSQcJGk4NBhADEA4cHktXR1BXSQwSGg0%3D</t>
  </si>
  <si>
    <t>501330-0200</t>
  </si>
  <si>
    <t>https://www.mouser.com/es/ProductDetail/Molex/501330-0200?qs=uEWtSLL707VDdEXASWutQw%3D%3D</t>
  </si>
  <si>
    <t>CRCW08054K70FKEAHP</t>
  </si>
  <si>
    <t>https://www.mouser.com/es/ProductDetail/Vishay/CRCW08054K70FKEAHP?qs=k2%2FDWSARqgEa%252B2IrxOkJMA%3D%3D</t>
  </si>
  <si>
    <t>501193-7000 (Loose Piece)</t>
  </si>
  <si>
    <t>MOLEX 436450300</t>
  </si>
  <si>
    <t>MAX6369KA+T</t>
  </si>
  <si>
    <t>https://www.mouser.com/es/ProductDetail/Molex/501193-7000-Loose-Piece?qs=%252BHhoWzUJg4Ll99bJvWLbpQ%3D%3D</t>
  </si>
  <si>
    <t>https://www.lcsc.com/product-detail/C259740.html?s_z=n_q_0436450300&amp;spm=wm.fly.bg.0.xh&amp;lcsc_vid=QVkPXlcDFlFWUlICRlMLUgBQFlFaBQIAElMPBAVVEQcxVlNeT1BWVFZQT1lcXjsOAxUeFF5JWBYZEEoKFBINSQcJGk4dAgUUFAk%3D</t>
  </si>
  <si>
    <t>https://www.lcsc.com/product-detail/C128613.html?s_z=n_q_%2520MAX6369&amp;spm=wm.fly.bg.0.xh&amp;lcsc_vid=RgNaXlNUQFAPVQJVEVcKU10ET1IMX1wHRVUKAlJXTgMxVlNeQVJfUlNXRVlWVDsOAxUeFF5JWBYZEEoKFBINSQcJGk4%3D</t>
  </si>
  <si>
    <t>TLJB157M010R0500</t>
  </si>
  <si>
    <t>GCM21BR71H104KA37L</t>
  </si>
  <si>
    <t>MOLEX 430300001</t>
  </si>
  <si>
    <t>https://www.mouser.com/es/ProductDetail/Wurth-Elektronik/62000411722?qs=ulEaXIWI0c%2FFrQs6mYW8Wg%3D%3D</t>
  </si>
  <si>
    <t>https://www.lcsc.com/product-detail/C161260.html?s_z=n_q_GCM21BR71H104KA37L&amp;spm=wm.fly.bg.0.xh&amp;lcsc_vid=T1JbAlYFTgRdVVNVQQQLVgdWFlQLAV0ARwcNV1YHTwcxVlNeTlJfU1dSRlBaXjsOAxUeFF5JWBYZEEoKFBINSQcJGk4%3D</t>
  </si>
  <si>
    <t>https://www.lcsc.com/product-detail/C259786.html?s_z=n_q_t_0430300001&amp;spm=wm.fly.bg.0.xh___wm.ssy.tc.1.tz&amp;lcsc_vid=QVkPXlcDFlFWUlICRlMLUgBQFlFaBQIAElMPBAVVEQcxVlNeT1BWVFdUQ1FWUTsOAxUeFF5JWBYZEEoKFBINSQcJGk4NBhADEA4cHktRTllADxALGw%3D%3D</t>
  </si>
  <si>
    <t>https://www.mouser.com/es/ProductDetail/KYOCERA-AVX/TLJB157M010R0500?qs=mVvrpt%2FmFGZfjJOZU4eg%2Fg%3D%3D</t>
  </si>
  <si>
    <t>SM10B-ZESS-TB(LF)(SN)</t>
  </si>
  <si>
    <t>FS8205A</t>
  </si>
  <si>
    <t>https://www.lcsc.com/product-detail/C5306635.html?s_z=n_q_%2520SM10B-ZESS-TB%28LF%29%28SN%29&amp;spm=wm.fly.bg.0.xh&amp;lcsc_vid=EVlaUFFeQgBdBFdXQABfBVxXQAULVlZRElZaAVZSRlQxVlNeTlNcVF1TRVRaUzsOAxUeFF5JWBYZEEoKFBINSQcJGk4eFQsCAgIaSgADAwAHC0slRldeU1RRWQkaCgg%3D</t>
  </si>
  <si>
    <t>https://www.mouser.com/es/ProductDetail/Wurth-Elektronik/620004113322?qs=W%252B2sBeLta1ZT66jg6EuZtg%3D%3D</t>
  </si>
  <si>
    <t>https://www.lcsc.com/product-detail/C2830320.html</t>
  </si>
  <si>
    <t>08053A6R8JAT2A</t>
  </si>
  <si>
    <t>https://www.mouser.com/es/ProductDetail/KYOCERA-AVX/08053A6R8JAT2A?qs=mcBJtHuWqlV8Zckj2ia0nw%3D%3D</t>
  </si>
  <si>
    <t>HY2120-CB</t>
  </si>
  <si>
    <t>SZE-002T-P0.3</t>
  </si>
  <si>
    <t>62000113722DEC</t>
  </si>
  <si>
    <t>https://www.lcsc.com/product-detail/C265428.html?s_z=n_q_SZE-002T-P0.3&amp;spm=wm.fly.bg.0.xh&amp;lcsc_vid=EVlaUFFeQgBdBFdXQABfBVxXQAULVlZRElZaAVZSRlQxVlNeTlNcU1RTR1FeVzsOAxUeFF5JWBYZEEoKFBINSQcJGk4NBhADEA4cHktRTlZADxALGw%3D%3D</t>
  </si>
  <si>
    <t>https://www.lcsc.com/product-detail/Battery-Management-ICs_HYCON-Tech-HY2120-CB_C116509.html</t>
  </si>
  <si>
    <t>https://www.mouser.com/es/ProductDetail/Wurth-Elektronik/62000113722DEC?qs=W%252B2sBeLta1bPboOfIxS8vA%3D%3D</t>
  </si>
  <si>
    <t>TPS22810TDBVRQ1</t>
  </si>
  <si>
    <t>ZER-10V-S</t>
  </si>
  <si>
    <t>CRCW08055K49FKEA</t>
  </si>
  <si>
    <t>https://www.lcsc.com/product-detail/C566917.html?s_z=n_q_ZER-10V-S&amp;spm=wm.fly.bg.0.xh&amp;lcsc_vid=EVlaUFFeQgBdBFdXQABfBVxXQAULVlZRElZaAVZSRlQxVlNeTlNcU1RfT1VdUzsOAxUeFF5JWBYZEEoKFBINSQcJGk4NBhADEA4cHktRTlZADxALGw%3D%3D</t>
  </si>
  <si>
    <t>https://www.mouser.com/es/ProductDetail/Texas-Instruments/TPS22810TDBVRQ1?qs=55YtniHzbhC0pJNCFuxHfA%3D%3D</t>
  </si>
  <si>
    <t>https://www.mouser.com/es/ProductDetail/Vishay/CRCW08055K49FKEA?qs=8UjxRNpjuUKkjACoULaefQ%3D%3D</t>
  </si>
  <si>
    <t>Total</t>
  </si>
  <si>
    <t>CRCW080562K0FKEA</t>
  </si>
  <si>
    <t>https://www.lcsc.com/product-detail/C313823.html?s_z=n_q_CRCW080510K0FKEAHP&amp;spm=wm.fly.bg.0.xh&amp;lcsc_vid=T1JbAlYFTgRdVVNVQQQLVgdWFlQLAV0ARwcNV1YHTwcxVlNeTlJcVlJeRFhXVDsOAxUeFF5JWBYZEEoKFBINSQcJGk4%3D</t>
  </si>
  <si>
    <t>https://www.mouser.com/es/ProductDetail/Vishay/CRCW080562K0FKEA?qs=EhwKGB4UJfn9xRc8CViV0g%3D%3D</t>
  </si>
  <si>
    <t>GCM216R71H472JA37J</t>
  </si>
  <si>
    <t>Poco stock</t>
  </si>
  <si>
    <t>https://www.mouser.com/es/ProductDetail/Murata-Electronics/GCM216R71H472JA37J?qs=QzBtWTOodeUWik9tamhSYg%3D%3D</t>
  </si>
  <si>
    <t>CRCW0805220RFKEA</t>
  </si>
  <si>
    <t>https://www.mouser.com/es/ProductDetail/Vishay/CRCW0805220RFKEA?qs=t6Mf8e9K%2Fun9XzSoZpvX3g%3D%3D</t>
  </si>
  <si>
    <t>PMEG4030ER-QX</t>
  </si>
  <si>
    <t>https://www.mouser.com/es/ProductDetail/Nexperia/PMEG4030ER-QX?qs=e8oIoAS2J1S%2FszJOn2UcQA%3D%3D</t>
  </si>
  <si>
    <t>CRCW0805100KFKEA</t>
  </si>
  <si>
    <t>CRCW080515K4FKEA</t>
  </si>
  <si>
    <t>https://www.mouser.com/es/ProductDetail/Vishay/CRCW0805100KFKEA?qs=LOX6nxTstibsf9am%252BHZOtQ%3D%3D</t>
  </si>
  <si>
    <t>https://www.mouser.com/es/ProductDetail/Vishay/CRCW080515K4FKEA?qs=bMjB6bAaLENeLnrcottR1w%3D%3D</t>
  </si>
  <si>
    <t>CRCW0805330RFKEA</t>
  </si>
  <si>
    <t>CRCW0805160RFKEAHP</t>
  </si>
  <si>
    <t>https://www.mouser.com/es/ProductDetail/Vishay/CRCW0805330RFKEA?qs=TrAHXYCGmqx6h6MysZWe0Q%3D%3D</t>
  </si>
  <si>
    <t>https://www.mouser.com/es/ProductDetail/Vishay/CRCW0805160RFKEAHP?qs=VtqDKwJMr4FNEye%252BHrZWVQ%3D%3D</t>
  </si>
  <si>
    <t>CRCW0805100RFKEA</t>
  </si>
  <si>
    <t>https://www.mouser.com/es/ProductDetail/Vishay/CRCW0805100RFKEA?qs=LOX6nxTstiYDPDKmuLyNLw%3D%3D</t>
  </si>
  <si>
    <t>CRCW08051K00FKEC</t>
  </si>
  <si>
    <t>https://www.mouser.com/es/ProductDetail/Vishay/CRCW08051K00FKEC?qs=ACuhskGrirIaU583YhVZpg%3D%3D</t>
  </si>
  <si>
    <t>https://www.mouser.com/es/ProductDetail/Vishay/CRCW080528R0FKEAHP?qs=Qh7l3Ft4H1kfbXMoKU%2FZJA%3D%3D</t>
  </si>
  <si>
    <t>CRCW08052K00FKEA</t>
  </si>
  <si>
    <t>https://www.mouser.com/es/ProductDetail/Vishay/CRCW08052K00FKEA?qs=SM0pg8AlB3rAI09HcwFYKg%3D%3D</t>
  </si>
  <si>
    <t>ZXMP3A13FTA</t>
  </si>
  <si>
    <t>https://www.mouser.com/es/ProductDetail/Diodes-Incorporated/ZXMP3A13FTA?qs=%2F4dsY8i%2FUxIpA871uUNOrg%3D%3D</t>
  </si>
  <si>
    <t>ZXMN3B14FTA</t>
  </si>
  <si>
    <t>https://www.mouser.com/es/ProductDetail/Diodes-Incorporated/ZXMN3B14FTA?qs=z1586jurcfy9bGNTxekZwA%3D%3D</t>
  </si>
  <si>
    <t>Main PCB</t>
  </si>
  <si>
    <t>Heater PCB</t>
  </si>
  <si>
    <t>https://www.digikey.com/es/products/detail/w%C3%BCrth-elektronik/62000411722/17737772</t>
  </si>
  <si>
    <t>Panels 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</si>
</sst>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FF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5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right" readingOrder="0"/>
    </xf>
    <xf borderId="0" fillId="2" fontId="1" numFmtId="0" xfId="0" applyAlignment="1" applyFill="1" applyFont="1">
      <alignment readingOrder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4" fontId="1" numFmtId="0" xfId="0" applyAlignment="1" applyFill="1" applyFont="1">
      <alignment horizontal="left" readingOrder="0" shrinkToFit="0" vertical="center" wrapText="0"/>
    </xf>
    <xf borderId="0" fillId="0" fontId="8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Main PCB - LCS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ater PCB - LCS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n PCB - Mous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ater PCB - Mous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r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G10" displayName="Tabla_2" name="Tabla_2" id="3">
  <tableColumns count="6">
    <tableColumn name="Cant. Min." id="1"/>
    <tableColumn name="Cant. Max. " id="2"/>
    <tableColumn name="Componente" id="3"/>
    <tableColumn name="Precio Unitario" id="4"/>
    <tableColumn name="Precio Total" id="5"/>
    <tableColumn name="Link de compra" id="6"/>
  </tableColumns>
  <tableStyleInfo name="Main PCB - LCSC-style" showColumnStripes="0" showFirstColumn="1" showLastColumn="1" showRowStripes="1"/>
</table>
</file>

<file path=xl/tables/table2.xml><?xml version="1.0" encoding="utf-8"?>
<table xmlns="http://schemas.openxmlformats.org/spreadsheetml/2006/main" ref="B2:G12" displayName="Tabla_1" name="Tabla_1" id="2">
  <tableColumns count="6">
    <tableColumn name="Cant. Min." id="1"/>
    <tableColumn name="Cant. Max. " id="2"/>
    <tableColumn name="Componente" id="3"/>
    <tableColumn name="Precio Unitario" id="4"/>
    <tableColumn name="Precio Total" id="5"/>
    <tableColumn name="Link de compra" id="6"/>
  </tableColumns>
  <tableStyleInfo name="Main PCB - Mouser-style" showColumnStripes="0" showFirstColumn="1" showLastColumn="1" showRowStripes="1"/>
</table>
</file>

<file path=xl/tables/table3.xml><?xml version="1.0" encoding="utf-8"?>
<table xmlns="http://schemas.openxmlformats.org/spreadsheetml/2006/main" ref="B2:G12" displayName="Tabla" name="Tabla" id="4">
  <tableColumns count="6">
    <tableColumn name="Cant. Min." id="1"/>
    <tableColumn name="Cant. Max. " id="2"/>
    <tableColumn name="Componente" id="3"/>
    <tableColumn name="Precio Unitario" id="4"/>
    <tableColumn name="Precio Total" id="5"/>
    <tableColumn name="Link de compra" id="6"/>
  </tableColumns>
  <tableStyleInfo name="Heater PCB - LCSC-style" showColumnStripes="0" showFirstColumn="1" showLastColumn="1" showRowStripes="1"/>
</table>
</file>

<file path=xl/tables/table4.xml><?xml version="1.0" encoding="utf-8"?>
<table xmlns="http://schemas.openxmlformats.org/spreadsheetml/2006/main" ref="B2:G20" displayName="Tabla_3" name="Tabla_3" id="1">
  <tableColumns count="6">
    <tableColumn name="Cant. Min." id="1"/>
    <tableColumn name="Cant. Max. " id="2"/>
    <tableColumn name="Componente" id="3"/>
    <tableColumn name="Precio Unitario" id="4"/>
    <tableColumn name="Precio Total" id="5"/>
    <tableColumn name="Link de compra" id="6"/>
  </tableColumns>
  <tableStyleInfo name="Heater PCB - Mouser-style" showColumnStripes="0" showFirstColumn="1" showLastColumn="1" showRowStripes="1"/>
</table>
</file>

<file path=xl/tables/table5.xml><?xml version="1.0" encoding="utf-8"?>
<table xmlns="http://schemas.openxmlformats.org/spreadsheetml/2006/main" ref="B2:G3" displayName="Tabla_4" name="Tabla_4" id="5">
  <tableColumns count="6">
    <tableColumn name="Cant. Min." id="1"/>
    <tableColumn name="Cant. Max. " id="2"/>
    <tableColumn name="Componente" id="3"/>
    <tableColumn name="Precio Unitario" id="4"/>
    <tableColumn name="Precio Total" id="5"/>
    <tableColumn name="Link de compra" id="6"/>
  </tableColumns>
  <tableStyleInfo name="O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csc.com/product-detail/C111738.html?s_z=n_q_TPS2553&amp;spm=wm.fly.bg.0.xh&amp;lcsc_vid=T1JbAlYFTgRdVVNVQQQLVgdWFlQLAV0ARwcNV1YHTwcxVlNeTlNdU1ZTRlhWVzsOAxUeFF5JWBYZEEoKFBINSQcJGk4%3D" TargetMode="External"/><Relationship Id="rId2" Type="http://schemas.openxmlformats.org/officeDocument/2006/relationships/hyperlink" Target="https://www.lcsc.com/product-detail/C313823.html?s_z=n_q_CRCW080510K0FKEAHP&amp;spm=wm.fly.bg.0.xh&amp;lcsc_vid=T1JbAlYFTgRdVVNVQQQLVgdWFlQLAV0ARwcNV1YHTwcxVlNeTlNdXlZWQFFaVzsOAxUeFF5JWBYZEEoKFBINSQcJGk4%3D" TargetMode="External"/><Relationship Id="rId3" Type="http://schemas.openxmlformats.org/officeDocument/2006/relationships/hyperlink" Target="https://www.lcsc.com/product-detail/C20044576.html?s_z=n_q_GRT31CC71E226ME13L&amp;spm=wm.fly.bg.0.xh&amp;lcsc_vid=T1JbAlYFTgRdVVNVQQQLVgdWFlQLAV0ARwcNV1YHTwcxVlNeTlNaV11RR1NaUTsOAxUeFF5JWBYZEEoKFBINSQcJGk4NBhADEA4cHktXR1BXSQwSGg0%3D" TargetMode="External"/><Relationship Id="rId4" Type="http://schemas.openxmlformats.org/officeDocument/2006/relationships/hyperlink" Target="https://www.lcsc.com/product-detail/C128613.html?s_z=n_q_%2520MAX6369&amp;spm=wm.fly.bg.0.xh&amp;lcsc_vid=RgNaXlNUQFAPVQJVEVcKU10ET1IMX1wHRVUKAlJXTgMxVlNeQVJfUlNXRVlWVDsOAxUeFF5JWBYZEEoKFBINSQcJGk4%3D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lcsc.com/product-detail/C161260.html?s_z=n_q_GCM21BR71H104KA37L&amp;spm=wm.fly.bg.0.xh&amp;lcsc_vid=T1JbAlYFTgRdVVNVQQQLVgdWFlQLAV0ARwcNV1YHTwcxVlNeTlJfU1dSRlBaXjsOAxUeFF5JWBYZEEoKFBINSQcJGk4%3D" TargetMode="External"/><Relationship Id="rId6" Type="http://schemas.openxmlformats.org/officeDocument/2006/relationships/hyperlink" Target="https://www.lcsc.com/product-detail/C5306635.html?s_z=n_q_%2520SM10B-ZESS-TB%28LF%29%28SN%29&amp;spm=wm.fly.bg.0.xh&amp;lcsc_vid=EVlaUFFeQgBdBFdXQABfBVxXQAULVlZRElZaAVZSRlQxVlNeTlNcVF1TRVRaUzsOAxUeFF5JWBYZEEoKFBINSQcJGk4eFQsCAgIaSgADAwAHC0slRldeU1RRWQkaCgg%3D" TargetMode="External"/><Relationship Id="rId7" Type="http://schemas.openxmlformats.org/officeDocument/2006/relationships/hyperlink" Target="https://www.lcsc.com/product-detail/C265428.html?s_z=n_q_SZE-002T-P0.3&amp;spm=wm.fly.bg.0.xh&amp;lcsc_vid=EVlaUFFeQgBdBFdXQABfBVxXQAULVlZRElZaAVZSRlQxVlNeTlNcU1RTR1FeVzsOAxUeFF5JWBYZEEoKFBINSQcJGk4NBhADEA4cHktRTlZADxALGw%3D%3D" TargetMode="External"/><Relationship Id="rId8" Type="http://schemas.openxmlformats.org/officeDocument/2006/relationships/hyperlink" Target="https://www.lcsc.com/product-detail/C566917.html?s_z=n_q_ZER-10V-S&amp;spm=wm.fly.bg.0.xh&amp;lcsc_vid=EVlaUFFeQgBdBFdXQABfBVxXQAULVlZRElZaAVZSRlQxVlNeTlNcU1RfT1VdUzsOAxUeFF5JWBYZEEoKFBINSQcJGk4NBhADEA4cHktRTlZADxALGw%3D%3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com/es/ProductDetail/Ohmite/KDV08DR050ET?qs=l4Gc20tDgJIdJbUC0mDeTQ%3D%3D" TargetMode="External"/><Relationship Id="rId2" Type="http://schemas.openxmlformats.org/officeDocument/2006/relationships/hyperlink" Target="https://www.mouser.com/ProductDetail/Kingbright/APT2012SYCK-J3-PRV?qs=D2TOvUWgdJ5Sp42MbIGUgA%3D%3D" TargetMode="External"/><Relationship Id="rId3" Type="http://schemas.openxmlformats.org/officeDocument/2006/relationships/hyperlink" Target="https://www.mouser.com/es/ProductDetail/Vishay/CRCW08054K70FKEAHP?qs=k2%2FDWSARqgEa%252B2IrxOkJMA%3D%3D" TargetMode="External"/><Relationship Id="rId4" Type="http://schemas.openxmlformats.org/officeDocument/2006/relationships/hyperlink" Target="https://www.mouser.com/es/ProductDetail/KYOCERA-AVX/TLJB157M010R0500?qs=mVvrpt%2FmFGZfjJOZU4eg%2Fg%3D%3D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mouser.com/es/ProductDetail/Vishay/CRCW0805160RFKEAHP?qs=VtqDKwJMr4FNEye%252BHrZWVQ%3D%3D" TargetMode="External"/><Relationship Id="rId13" Type="http://schemas.openxmlformats.org/officeDocument/2006/relationships/table" Target="../tables/table2.xml"/><Relationship Id="rId9" Type="http://schemas.openxmlformats.org/officeDocument/2006/relationships/hyperlink" Target="https://www.mouser.com/es/ProductDetail/Vishay/CRCW080515K4FKEA?qs=bMjB6bAaLENeLnrcottR1w%3D%3D" TargetMode="External"/><Relationship Id="rId5" Type="http://schemas.openxmlformats.org/officeDocument/2006/relationships/hyperlink" Target="https://www.mouser.com/es/ProductDetail/KYOCERA-AVX/08053A6R8JAT2A?qs=mcBJtHuWqlV8Zckj2ia0nw%3D%3D" TargetMode="External"/><Relationship Id="rId6" Type="http://schemas.openxmlformats.org/officeDocument/2006/relationships/hyperlink" Target="https://www.mouser.com/es/ProductDetail/Texas-Instruments/TPS22810TDBVRQ1?qs=55YtniHzbhC0pJNCFuxHfA%3D%3D" TargetMode="External"/><Relationship Id="rId7" Type="http://schemas.openxmlformats.org/officeDocument/2006/relationships/hyperlink" Target="https://www.mouser.com/es/ProductDetail/Murata-Electronics/GCM216R71H472JA37J?qs=QzBtWTOodeUWik9tamhSYg%3D%3D" TargetMode="External"/><Relationship Id="rId8" Type="http://schemas.openxmlformats.org/officeDocument/2006/relationships/hyperlink" Target="https://www.mouser.com/es/ProductDetail/Nexperia/PMEG4030ER-QX?qs=e8oIoAS2J1S%2FszJOn2UcQA%3D%3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csc.com/product-detail/C140261.html?s_z=n_q_TLV3701QDBVRQ1&amp;spm=wm.fly.bg.0.xh&amp;lcsc_vid=T1JbAlYFTgRdVVNVQQQLVgdWFlQLAV0ARwcNV1YHTwcxVlNeTlJfUF1QQllWXzsOAxUeFF5JWBYZEEoKFBINSQcJGk4%3D" TargetMode="External"/><Relationship Id="rId2" Type="http://schemas.openxmlformats.org/officeDocument/2006/relationships/hyperlink" Target="https://www.lcsc.com/product-detail/C699536.html?s_z=n_q_TMP117AIDRVR&amp;spm=wm.fly.bg.0.xh&amp;lcsc_vid=RgNaXlNUQFAPVQJVEVcKU10ET1IMX1wHRVUKAlJXTgMxVlNeQVJcV1xUQVVWUzsOAxUeFF5JWBYZEEoKFBINSQcJGk4%3D" TargetMode="External"/><Relationship Id="rId3" Type="http://schemas.openxmlformats.org/officeDocument/2006/relationships/hyperlink" Target="https://www.lcsc.com/product-detail/C114109.html?s_z=n_q_p_43650-0311&amp;spm=wm.ssy.bg.0.xh&amp;lcsc_vid=QVkPXlcDFlFWUlICRlMLUgBQFlFaBQIAElMPBAVVEQcxVlNeT1BWVVNVR1BbUDsOAxUeFF5JWBYZEEoKFBINSQcJGk4%3D" TargetMode="External"/><Relationship Id="rId4" Type="http://schemas.openxmlformats.org/officeDocument/2006/relationships/hyperlink" Target="https://www.lcsc.com/product-detail/C259740.html?s_z=n_q_0436450300&amp;spm=wm.fly.bg.0.xh&amp;lcsc_vid=QVkPXlcDFlFWUlICRlMLUgBQFlFaBQIAElMPBAVVEQcxVlNeT1BWVFZQT1lcXjsOAxUeFF5JWBYZEEoKFBINSQcJGk4dAgUUFAk%3D" TargetMode="External"/><Relationship Id="rId10" Type="http://schemas.openxmlformats.org/officeDocument/2006/relationships/drawing" Target="../drawings/drawing3.xml"/><Relationship Id="rId12" Type="http://schemas.openxmlformats.org/officeDocument/2006/relationships/table" Target="../tables/table3.xml"/><Relationship Id="rId9" Type="http://schemas.openxmlformats.org/officeDocument/2006/relationships/hyperlink" Target="https://www.lcsc.com/product-detail/C313823.html?s_z=n_q_CRCW080510K0FKEAHP&amp;spm=wm.fly.bg.0.xh&amp;lcsc_vid=T1JbAlYFTgRdVVNVQQQLVgdWFlQLAV0ARwcNV1YHTwcxVlNeTlJcVlJeRFhXVDsOAxUeFF5JWBYZEEoKFBINSQcJGk4%3D" TargetMode="External"/><Relationship Id="rId5" Type="http://schemas.openxmlformats.org/officeDocument/2006/relationships/hyperlink" Target="https://www.lcsc.com/product-detail/C259786.html?s_z=n_q_t_0430300001&amp;spm=wm.fly.bg.0.xh___wm.ssy.tc.1.tz&amp;lcsc_vid=QVkPXlcDFlFWUlICRlMLUgBQFlFaBQIAElMPBAVVEQcxVlNeT1BWVFdUQ1FWUTsOAxUeFF5JWBYZEEoKFBINSQcJGk4NBhADEA4cHktRTllADxALGw%3D%3D" TargetMode="External"/><Relationship Id="rId6" Type="http://schemas.openxmlformats.org/officeDocument/2006/relationships/hyperlink" Target="https://www.lcsc.com/product-detail/C2830320.html" TargetMode="External"/><Relationship Id="rId7" Type="http://schemas.openxmlformats.org/officeDocument/2006/relationships/hyperlink" Target="https://www.lcsc.com/product-detail/Battery-Management-ICs_HYCON-Tech-HY2120-CB_C116509.html" TargetMode="External"/><Relationship Id="rId8" Type="http://schemas.openxmlformats.org/officeDocument/2006/relationships/hyperlink" Target="https://www.lcsc.com/product-detail/C161260.html?s_z=n_q_GCM21BR71H104KA37L&amp;spm=wm.fly.bg.0.xh&amp;lcsc_vid=T1JbAlYFTgRdVVNVQQQLVgdWFlQLAV0ARwcNV1YHTwcxVlNeTlJfU1dSRlBaXjsOAxUeFF5JWBYZEEoKFBINSQcJGk4%3D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user.com/es/ProductDetail/Vishay/CRCW0805100KFKEA?qs=LOX6nxTstibsf9am%252BHZOtQ%3D%3D" TargetMode="External"/><Relationship Id="rId10" Type="http://schemas.openxmlformats.org/officeDocument/2006/relationships/hyperlink" Target="https://www.mouser.com/es/ProductDetail/Vishay/CRCW0805220RFKEA?qs=t6Mf8e9K%2Fun9XzSoZpvX3g%3D%3D" TargetMode="External"/><Relationship Id="rId21" Type="http://schemas.openxmlformats.org/officeDocument/2006/relationships/table" Target="../tables/table4.xml"/><Relationship Id="rId13" Type="http://schemas.openxmlformats.org/officeDocument/2006/relationships/hyperlink" Target="https://www.mouser.com/es/ProductDetail/Vishay/CRCW0805100RFKEA?qs=LOX6nxTstiYDPDKmuLyNLw%3D%3D" TargetMode="External"/><Relationship Id="rId12" Type="http://schemas.openxmlformats.org/officeDocument/2006/relationships/hyperlink" Target="https://www.mouser.com/es/ProductDetail/Vishay/CRCW0805330RFKEA?qs=TrAHXYCGmqx6h6MysZWe0Q%3D%3D" TargetMode="External"/><Relationship Id="rId1" Type="http://schemas.openxmlformats.org/officeDocument/2006/relationships/hyperlink" Target="https://www.mouser.com/es/ProductDetail/Texas-Instruments/BQ29209TDRBRQ1?qs=q3hS8dlu9yIxllPDLAJvfA%3D%3D" TargetMode="External"/><Relationship Id="rId2" Type="http://schemas.openxmlformats.org/officeDocument/2006/relationships/hyperlink" Target="https://www.mouser.com/es/ProductDetail/Molex/501568-0207?qs=uEWtSLL707WbFjnit2JOEg%3D%3D" TargetMode="External"/><Relationship Id="rId3" Type="http://schemas.openxmlformats.org/officeDocument/2006/relationships/hyperlink" Target="https://www.mouser.com/es/ProductDetail/Molex/501330-0200?qs=uEWtSLL707VDdEXASWutQw%3D%3D" TargetMode="External"/><Relationship Id="rId4" Type="http://schemas.openxmlformats.org/officeDocument/2006/relationships/hyperlink" Target="https://www.mouser.com/es/ProductDetail/Molex/501193-7000-Loose-Piece?qs=%252BHhoWzUJg4Ll99bJvWLbpQ%3D%3D" TargetMode="External"/><Relationship Id="rId9" Type="http://schemas.openxmlformats.org/officeDocument/2006/relationships/hyperlink" Target="https://www.mouser.com/es/ProductDetail/Vishay/CRCW080562K0FKEA?qs=EhwKGB4UJfn9xRc8CViV0g%3D%3D" TargetMode="External"/><Relationship Id="rId15" Type="http://schemas.openxmlformats.org/officeDocument/2006/relationships/hyperlink" Target="https://www.mouser.com/es/ProductDetail/Vishay/CRCW080528R0FKEAHP?qs=Qh7l3Ft4H1kfbXMoKU%2FZJA%3D%3D" TargetMode="External"/><Relationship Id="rId14" Type="http://schemas.openxmlformats.org/officeDocument/2006/relationships/hyperlink" Target="https://www.mouser.com/es/ProductDetail/Vishay/CRCW08051K00FKEC?qs=ACuhskGrirIaU583YhVZpg%3D%3D" TargetMode="External"/><Relationship Id="rId17" Type="http://schemas.openxmlformats.org/officeDocument/2006/relationships/hyperlink" Target="https://www.mouser.com/es/ProductDetail/Diodes-Incorporated/ZXMP3A13FTA?qs=%2F4dsY8i%2FUxIpA871uUNOrg%3D%3D" TargetMode="External"/><Relationship Id="rId16" Type="http://schemas.openxmlformats.org/officeDocument/2006/relationships/hyperlink" Target="https://www.mouser.com/es/ProductDetail/Vishay/CRCW08052K00FKEA?qs=SM0pg8AlB3rAI09HcwFYKg%3D%3D" TargetMode="External"/><Relationship Id="rId5" Type="http://schemas.openxmlformats.org/officeDocument/2006/relationships/hyperlink" Target="https://www.mouser.com/es/ProductDetail/Wurth-Elektronik/62000411722?qs=ulEaXIWI0c%2FFrQs6mYW8Wg%3D%3D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https://www.mouser.com/es/ProductDetail/Wurth-Elektronik/620004113322?qs=W%252B2sBeLta1ZT66jg6EuZtg%3D%3D" TargetMode="External"/><Relationship Id="rId18" Type="http://schemas.openxmlformats.org/officeDocument/2006/relationships/hyperlink" Target="https://www.mouser.com/es/ProductDetail/Diodes-Incorporated/ZXMN3B14FTA?qs=z1586jurcfy9bGNTxekZwA%3D%3D" TargetMode="External"/><Relationship Id="rId7" Type="http://schemas.openxmlformats.org/officeDocument/2006/relationships/hyperlink" Target="https://www.mouser.com/es/ProductDetail/Wurth-Elektronik/62000113722DEC?qs=W%252B2sBeLta1bPboOfIxS8vA%3D%3D" TargetMode="External"/><Relationship Id="rId8" Type="http://schemas.openxmlformats.org/officeDocument/2006/relationships/hyperlink" Target="https://www.mouser.com/es/ProductDetail/Vishay/CRCW08055K49FKEA?qs=8UjxRNpjuUKkjACoULaefQ%3D%3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s/products/detail/w%C3%BCrth-elektronik/62000411722/17737772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3.88"/>
    <col customWidth="1" min="4" max="4" width="26.88"/>
    <col customWidth="1" min="5" max="5" width="16.38"/>
    <col customWidth="1" min="6" max="6" width="17.63"/>
    <col customWidth="1" min="7" max="7" width="37.63"/>
  </cols>
  <sheetData>
    <row r="1">
      <c r="E1" s="1"/>
      <c r="F1" s="1"/>
    </row>
    <row r="2" ht="22.5" customHeight="1"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2" t="s">
        <v>5</v>
      </c>
    </row>
    <row r="3" ht="22.5" customHeight="1">
      <c r="B3" s="4">
        <v>3.0</v>
      </c>
      <c r="C3" s="4">
        <v>5.0</v>
      </c>
      <c r="D3" s="4" t="s">
        <v>6</v>
      </c>
      <c r="E3" s="5">
        <f>1.47/5</f>
        <v>0.294</v>
      </c>
      <c r="F3" s="5">
        <f t="shared" ref="F3:F10" si="1">C3*E3</f>
        <v>1.47</v>
      </c>
      <c r="G3" s="8" t="s">
        <v>9</v>
      </c>
    </row>
    <row r="4" ht="22.5" customHeight="1">
      <c r="B4" s="4">
        <v>11.0</v>
      </c>
      <c r="C4" s="4">
        <v>20.0</v>
      </c>
      <c r="D4" s="4" t="s">
        <v>13</v>
      </c>
      <c r="E4" s="7">
        <v>0.0582</v>
      </c>
      <c r="F4" s="5">
        <f t="shared" si="1"/>
        <v>1.164</v>
      </c>
      <c r="G4" s="8" t="s">
        <v>16</v>
      </c>
    </row>
    <row r="5" ht="22.5" customHeight="1">
      <c r="B5" s="4">
        <v>3.0</v>
      </c>
      <c r="C5" s="4">
        <v>5.0</v>
      </c>
      <c r="D5" s="4" t="s">
        <v>22</v>
      </c>
      <c r="E5" s="7">
        <v>0.66</v>
      </c>
      <c r="F5" s="7">
        <f t="shared" si="1"/>
        <v>3.3</v>
      </c>
      <c r="G5" s="8" t="s">
        <v>25</v>
      </c>
    </row>
    <row r="6" ht="22.5" customHeight="1">
      <c r="B6" s="4">
        <v>1.0</v>
      </c>
      <c r="C6" s="4">
        <v>2.0</v>
      </c>
      <c r="D6" s="4" t="s">
        <v>32</v>
      </c>
      <c r="E6" s="7">
        <v>2.28</v>
      </c>
      <c r="F6" s="7">
        <f t="shared" si="1"/>
        <v>4.56</v>
      </c>
      <c r="G6" s="8" t="s">
        <v>35</v>
      </c>
    </row>
    <row r="7" ht="22.5" customHeight="1">
      <c r="B7" s="4">
        <v>19.0</v>
      </c>
      <c r="C7" s="4">
        <v>30.0</v>
      </c>
      <c r="D7" s="4" t="s">
        <v>37</v>
      </c>
      <c r="E7" s="7">
        <v>0.0474</v>
      </c>
      <c r="F7" s="7">
        <f t="shared" si="1"/>
        <v>1.422</v>
      </c>
      <c r="G7" s="8" t="s">
        <v>40</v>
      </c>
    </row>
    <row r="8" ht="22.5" customHeight="1">
      <c r="B8" s="4">
        <v>2.0</v>
      </c>
      <c r="C8" s="4">
        <v>4.0</v>
      </c>
      <c r="D8" s="6" t="s">
        <v>43</v>
      </c>
      <c r="E8" s="7">
        <v>0.97</v>
      </c>
      <c r="F8" s="7">
        <f t="shared" si="1"/>
        <v>3.88</v>
      </c>
      <c r="G8" s="8" t="s">
        <v>45</v>
      </c>
    </row>
    <row r="9" ht="22.5" customHeight="1">
      <c r="B9" s="4">
        <v>10.0</v>
      </c>
      <c r="C9" s="4">
        <v>40.0</v>
      </c>
      <c r="D9" s="4" t="s">
        <v>51</v>
      </c>
      <c r="E9" s="7">
        <v>0.0242</v>
      </c>
      <c r="F9" s="7">
        <f t="shared" si="1"/>
        <v>0.968</v>
      </c>
      <c r="G9" s="8" t="s">
        <v>53</v>
      </c>
    </row>
    <row r="10" ht="22.5" customHeight="1">
      <c r="B10" s="4">
        <v>2.0</v>
      </c>
      <c r="C10" s="4">
        <v>5.0</v>
      </c>
      <c r="D10" s="6" t="s">
        <v>57</v>
      </c>
      <c r="E10" s="7">
        <v>0.1769</v>
      </c>
      <c r="F10" s="7">
        <f t="shared" si="1"/>
        <v>0.8845</v>
      </c>
      <c r="G10" s="8" t="s">
        <v>59</v>
      </c>
    </row>
    <row r="11">
      <c r="E11" s="1"/>
      <c r="F11" s="1"/>
    </row>
    <row r="12">
      <c r="E12" s="20" t="s">
        <v>62</v>
      </c>
      <c r="F12" s="1">
        <f>SUM(Tabla_2[Precio Total])</f>
        <v>17.6485</v>
      </c>
    </row>
    <row r="13">
      <c r="E13" s="1"/>
      <c r="F13" s="1"/>
    </row>
    <row r="14">
      <c r="E14" s="1"/>
      <c r="F14" s="1"/>
      <c r="H14" s="21" t="s">
        <v>67</v>
      </c>
    </row>
    <row r="15">
      <c r="E15" s="1"/>
      <c r="F15" s="1"/>
    </row>
    <row r="16">
      <c r="E16" s="1"/>
      <c r="F16" s="1"/>
    </row>
    <row r="17">
      <c r="E17" s="1"/>
      <c r="F17" s="1"/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</sheetData>
  <dataValidations>
    <dataValidation type="custom" allowBlank="1" showDropDown="1" sqref="F3:F10">
      <formula1>AND(ISNUMBER(F3),(NOT(OR(NOT(ISERROR(DATEVALUE(F3))), AND(ISNUMBER(F3), LEFT(CELL("format", F3))="D")))))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</hyperlinks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3.88"/>
    <col customWidth="1" min="4" max="4" width="21.13"/>
    <col customWidth="1" min="5" max="5" width="16.38"/>
    <col customWidth="1" min="6" max="6" width="17.63"/>
    <col customWidth="1" min="7" max="7" width="37.63"/>
  </cols>
  <sheetData>
    <row r="1">
      <c r="E1" s="1"/>
      <c r="F1" s="1"/>
    </row>
    <row r="2" ht="22.5" customHeight="1"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2" t="s">
        <v>5</v>
      </c>
    </row>
    <row r="3" ht="22.5" customHeight="1">
      <c r="B3" s="4">
        <v>5.0</v>
      </c>
      <c r="C3" s="4">
        <v>10.0</v>
      </c>
      <c r="D3" s="4" t="s">
        <v>8</v>
      </c>
      <c r="E3" s="7">
        <v>0.28</v>
      </c>
      <c r="F3" s="5">
        <f t="shared" ref="F3:F12" si="1">C3*E3</f>
        <v>2.8</v>
      </c>
      <c r="G3" s="8" t="s">
        <v>11</v>
      </c>
    </row>
    <row r="4" ht="22.5" customHeight="1">
      <c r="B4" s="4">
        <v>2.0</v>
      </c>
      <c r="C4" s="4">
        <v>3.0</v>
      </c>
      <c r="D4" s="6" t="s">
        <v>17</v>
      </c>
      <c r="E4" s="7">
        <v>0.46</v>
      </c>
      <c r="F4" s="5">
        <f t="shared" si="1"/>
        <v>1.38</v>
      </c>
      <c r="G4" s="10" t="s">
        <v>19</v>
      </c>
    </row>
    <row r="5" ht="22.5" customHeight="1">
      <c r="B5" s="11">
        <v>3.0</v>
      </c>
      <c r="C5" s="11">
        <v>10.0</v>
      </c>
      <c r="D5" s="11" t="s">
        <v>28</v>
      </c>
      <c r="E5" s="5">
        <v>0.07</v>
      </c>
      <c r="F5" s="5">
        <f t="shared" si="1"/>
        <v>0.7</v>
      </c>
      <c r="G5" s="8" t="s">
        <v>29</v>
      </c>
    </row>
    <row r="6" ht="22.5" customHeight="1">
      <c r="B6" s="4">
        <v>3.0</v>
      </c>
      <c r="C6" s="4">
        <v>3.0</v>
      </c>
      <c r="D6" s="4" t="s">
        <v>36</v>
      </c>
      <c r="E6" s="7">
        <v>1.02</v>
      </c>
      <c r="F6" s="5">
        <f t="shared" si="1"/>
        <v>3.06</v>
      </c>
      <c r="G6" s="8" t="s">
        <v>42</v>
      </c>
    </row>
    <row r="7" ht="22.5" customHeight="1">
      <c r="B7" s="4">
        <v>2.0</v>
      </c>
      <c r="C7" s="4">
        <v>10.0</v>
      </c>
      <c r="D7" s="4" t="s">
        <v>48</v>
      </c>
      <c r="E7" s="7">
        <v>0.057</v>
      </c>
      <c r="F7" s="5">
        <f t="shared" si="1"/>
        <v>0.57</v>
      </c>
      <c r="G7" s="8" t="s">
        <v>49</v>
      </c>
    </row>
    <row r="8" ht="22.5" customHeight="1">
      <c r="B8" s="19">
        <v>1.0</v>
      </c>
      <c r="C8" s="19">
        <v>3.0</v>
      </c>
      <c r="D8" s="19" t="s">
        <v>56</v>
      </c>
      <c r="E8" s="16">
        <v>0.72</v>
      </c>
      <c r="F8" s="16">
        <f t="shared" si="1"/>
        <v>2.16</v>
      </c>
      <c r="G8" s="18" t="s">
        <v>60</v>
      </c>
    </row>
    <row r="9" ht="22.5" customHeight="1">
      <c r="B9" s="4">
        <v>1.0</v>
      </c>
      <c r="C9" s="4">
        <v>3.0</v>
      </c>
      <c r="D9" s="6" t="s">
        <v>66</v>
      </c>
      <c r="E9" s="7">
        <v>0.28</v>
      </c>
      <c r="F9" s="5">
        <f t="shared" si="1"/>
        <v>0.84</v>
      </c>
      <c r="G9" s="8" t="s">
        <v>68</v>
      </c>
    </row>
    <row r="10" ht="22.5" customHeight="1">
      <c r="B10" s="4">
        <v>2.0</v>
      </c>
      <c r="C10" s="4">
        <v>4.0</v>
      </c>
      <c r="D10" s="4" t="s">
        <v>71</v>
      </c>
      <c r="E10" s="7">
        <v>0.59</v>
      </c>
      <c r="F10" s="5">
        <f t="shared" si="1"/>
        <v>2.36</v>
      </c>
      <c r="G10" s="8" t="s">
        <v>72</v>
      </c>
    </row>
    <row r="11" ht="22.5" customHeight="1">
      <c r="B11" s="4">
        <v>2.0</v>
      </c>
      <c r="C11" s="4">
        <v>10.0</v>
      </c>
      <c r="D11" s="4" t="s">
        <v>74</v>
      </c>
      <c r="E11" s="7">
        <v>0.028</v>
      </c>
      <c r="F11" s="5">
        <f t="shared" si="1"/>
        <v>0.28</v>
      </c>
      <c r="G11" s="8" t="s">
        <v>76</v>
      </c>
    </row>
    <row r="12" ht="22.5" customHeight="1">
      <c r="B12" s="4">
        <v>1.0</v>
      </c>
      <c r="C12" s="4">
        <v>10.0</v>
      </c>
      <c r="D12" s="4" t="s">
        <v>78</v>
      </c>
      <c r="E12" s="7">
        <v>0.072</v>
      </c>
      <c r="F12" s="5">
        <f t="shared" si="1"/>
        <v>0.72</v>
      </c>
      <c r="G12" s="8" t="s">
        <v>80</v>
      </c>
    </row>
    <row r="13">
      <c r="E13" s="1"/>
      <c r="F13" s="1"/>
    </row>
    <row r="14">
      <c r="E14" s="20" t="s">
        <v>62</v>
      </c>
      <c r="F14" s="1">
        <f>SUM(Tabla_1[Precio Total])</f>
        <v>14.87</v>
      </c>
    </row>
    <row r="15">
      <c r="E15" s="1"/>
      <c r="F15" s="1"/>
    </row>
    <row r="16">
      <c r="E16" s="1"/>
      <c r="F16" s="1"/>
    </row>
    <row r="17">
      <c r="E17" s="1"/>
      <c r="F17" s="1"/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</sheetData>
  <dataValidations>
    <dataValidation type="custom" allowBlank="1" showDropDown="1" sqref="F3:F12">
      <formula1>AND(ISNUMBER(F3),(NOT(OR(NOT(ISERROR(DATEVALUE(F3))), AND(ISNUMBER(F3), LEFT(CELL("format", F3))="D")))))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</hyperlinks>
  <drawing r:id="rId11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3.88"/>
    <col customWidth="1" min="4" max="4" width="26.88"/>
    <col customWidth="1" min="5" max="5" width="16.38"/>
    <col customWidth="1" min="6" max="6" width="17.63"/>
    <col customWidth="1" min="7" max="7" width="37.63"/>
  </cols>
  <sheetData>
    <row r="1">
      <c r="E1" s="1"/>
      <c r="F1" s="1"/>
    </row>
    <row r="2" ht="22.5" customHeight="1"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2" t="s">
        <v>5</v>
      </c>
    </row>
    <row r="3" ht="22.5" customHeight="1">
      <c r="B3" s="4">
        <v>1.0</v>
      </c>
      <c r="C3" s="4">
        <v>2.0</v>
      </c>
      <c r="D3" s="6" t="s">
        <v>7</v>
      </c>
      <c r="E3" s="7">
        <v>1.2831</v>
      </c>
      <c r="F3" s="5">
        <f t="shared" ref="F3:F11" si="1">C3*E3</f>
        <v>2.5662</v>
      </c>
      <c r="G3" s="8" t="s">
        <v>10</v>
      </c>
    </row>
    <row r="4" ht="22.5" customHeight="1">
      <c r="B4" s="4">
        <v>1.0</v>
      </c>
      <c r="C4" s="4">
        <v>2.0</v>
      </c>
      <c r="D4" s="4" t="s">
        <v>14</v>
      </c>
      <c r="E4" s="7">
        <v>1.02</v>
      </c>
      <c r="F4" s="5">
        <f t="shared" si="1"/>
        <v>2.04</v>
      </c>
      <c r="G4" s="8" t="s">
        <v>18</v>
      </c>
    </row>
    <row r="5" ht="22.5" customHeight="1">
      <c r="B5" s="4">
        <v>1.0</v>
      </c>
      <c r="C5" s="4">
        <v>2.0</v>
      </c>
      <c r="D5" s="4" t="s">
        <v>23</v>
      </c>
      <c r="E5" s="7">
        <v>1.36</v>
      </c>
      <c r="F5" s="7">
        <f t="shared" si="1"/>
        <v>2.72</v>
      </c>
      <c r="G5" s="8" t="s">
        <v>24</v>
      </c>
    </row>
    <row r="6" ht="22.5" customHeight="1">
      <c r="B6" s="4">
        <v>1.0</v>
      </c>
      <c r="C6" s="4">
        <v>2.0</v>
      </c>
      <c r="D6" s="4" t="s">
        <v>31</v>
      </c>
      <c r="E6" s="7">
        <v>0.63</v>
      </c>
      <c r="F6" s="7">
        <f t="shared" si="1"/>
        <v>1.26</v>
      </c>
      <c r="G6" s="8" t="s">
        <v>34</v>
      </c>
    </row>
    <row r="7" ht="22.5" customHeight="1">
      <c r="B7" s="4">
        <v>3.0</v>
      </c>
      <c r="C7" s="4">
        <v>100.0</v>
      </c>
      <c r="D7" s="4" t="s">
        <v>38</v>
      </c>
      <c r="E7" s="7">
        <v>0.0149</v>
      </c>
      <c r="F7" s="7">
        <f t="shared" si="1"/>
        <v>1.49</v>
      </c>
      <c r="G7" s="8" t="s">
        <v>41</v>
      </c>
    </row>
    <row r="8" ht="22.5" customHeight="1">
      <c r="B8" s="4">
        <v>1.0</v>
      </c>
      <c r="C8" s="4">
        <v>3.0</v>
      </c>
      <c r="D8" s="4" t="s">
        <v>44</v>
      </c>
      <c r="E8" s="7">
        <v>0.0502</v>
      </c>
      <c r="F8" s="7">
        <f t="shared" si="1"/>
        <v>0.1506</v>
      </c>
      <c r="G8" s="17" t="s">
        <v>47</v>
      </c>
    </row>
    <row r="9" ht="22.5" customHeight="1">
      <c r="B9" s="4">
        <v>1.0</v>
      </c>
      <c r="C9" s="4">
        <v>5.0</v>
      </c>
      <c r="D9" s="4" t="s">
        <v>50</v>
      </c>
      <c r="E9" s="7">
        <v>0.2393</v>
      </c>
      <c r="F9" s="7">
        <f t="shared" si="1"/>
        <v>1.1965</v>
      </c>
      <c r="G9" s="8" t="s">
        <v>54</v>
      </c>
    </row>
    <row r="10" ht="22.5" customHeight="1">
      <c r="B10" s="4">
        <v>8.0</v>
      </c>
      <c r="C10" s="4">
        <v>20.0</v>
      </c>
      <c r="D10" s="4" t="s">
        <v>37</v>
      </c>
      <c r="E10" s="7">
        <v>0.0474</v>
      </c>
      <c r="F10" s="7">
        <f t="shared" si="1"/>
        <v>0.948</v>
      </c>
      <c r="G10" s="8" t="s">
        <v>40</v>
      </c>
    </row>
    <row r="11" ht="22.5" customHeight="1">
      <c r="B11" s="4">
        <v>2.0</v>
      </c>
      <c r="C11" s="4">
        <v>10.0</v>
      </c>
      <c r="D11" s="4" t="s">
        <v>13</v>
      </c>
      <c r="E11" s="7">
        <v>0.0582</v>
      </c>
      <c r="F11" s="7">
        <f t="shared" si="1"/>
        <v>0.582</v>
      </c>
      <c r="G11" s="8" t="s">
        <v>64</v>
      </c>
    </row>
    <row r="12" ht="22.5" customHeight="1">
      <c r="E12" s="7"/>
      <c r="F12" s="7"/>
      <c r="G12" s="22"/>
    </row>
    <row r="13">
      <c r="E13" s="1"/>
      <c r="F13" s="1"/>
    </row>
    <row r="14">
      <c r="E14" s="20" t="s">
        <v>62</v>
      </c>
      <c r="F14" s="1">
        <f>SUM(Tabla[Precio Total])</f>
        <v>12.9533</v>
      </c>
    </row>
    <row r="15">
      <c r="E15" s="1"/>
      <c r="F15" s="1"/>
    </row>
    <row r="16">
      <c r="E16" s="1"/>
      <c r="F16" s="1"/>
    </row>
    <row r="17">
      <c r="E17" s="1"/>
      <c r="F17" s="1"/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</sheetData>
  <dataValidations>
    <dataValidation type="custom" allowBlank="1" showDropDown="1" sqref="F3:F12">
      <formula1>AND(ISNUMBER(F3),(NOT(OR(NOT(ISERROR(DATEVALUE(F3))), AND(ISNUMBER(F3), LEFT(CELL("format", F3))="D")))))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</hyperlinks>
  <drawing r:id="rId10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3.88"/>
    <col customWidth="1" min="4" max="4" width="22.75"/>
    <col customWidth="1" min="5" max="5" width="16.38"/>
    <col customWidth="1" min="6" max="6" width="17.63"/>
    <col customWidth="1" min="7" max="7" width="37.63"/>
  </cols>
  <sheetData>
    <row r="1">
      <c r="E1" s="1"/>
      <c r="F1" s="1"/>
    </row>
    <row r="2" ht="22.5" customHeight="1"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2" t="s">
        <v>5</v>
      </c>
    </row>
    <row r="3" ht="22.5" customHeight="1">
      <c r="B3" s="4">
        <v>1.0</v>
      </c>
      <c r="C3" s="4">
        <v>2.0</v>
      </c>
      <c r="D3" s="4" t="s">
        <v>12</v>
      </c>
      <c r="E3" s="7">
        <v>1.12</v>
      </c>
      <c r="F3" s="5">
        <f t="shared" ref="F3:F20" si="1">C3*E3</f>
        <v>2.24</v>
      </c>
      <c r="G3" s="8" t="s">
        <v>15</v>
      </c>
    </row>
    <row r="4" ht="22.5" customHeight="1">
      <c r="B4" s="4">
        <v>1.0</v>
      </c>
      <c r="C4" s="4">
        <v>2.0</v>
      </c>
      <c r="D4" s="4" t="s">
        <v>20</v>
      </c>
      <c r="E4" s="7">
        <v>0.58</v>
      </c>
      <c r="F4" s="5">
        <f t="shared" si="1"/>
        <v>1.16</v>
      </c>
      <c r="G4" s="9" t="s">
        <v>21</v>
      </c>
    </row>
    <row r="5" ht="22.5" customHeight="1">
      <c r="B5" s="4">
        <v>1.0</v>
      </c>
      <c r="C5" s="4">
        <v>2.0</v>
      </c>
      <c r="D5" s="4" t="s">
        <v>26</v>
      </c>
      <c r="E5" s="7">
        <v>0.22</v>
      </c>
      <c r="F5" s="5">
        <f t="shared" si="1"/>
        <v>0.44</v>
      </c>
      <c r="G5" s="8" t="s">
        <v>27</v>
      </c>
    </row>
    <row r="6" ht="22.5" customHeight="1">
      <c r="B6" s="4">
        <v>2.0</v>
      </c>
      <c r="C6" s="4">
        <v>4.0</v>
      </c>
      <c r="D6" s="4" t="s">
        <v>30</v>
      </c>
      <c r="E6" s="7">
        <v>0.22</v>
      </c>
      <c r="F6" s="5">
        <f t="shared" si="1"/>
        <v>0.88</v>
      </c>
      <c r="G6" s="8" t="s">
        <v>33</v>
      </c>
    </row>
    <row r="7" ht="22.5" customHeight="1">
      <c r="B7" s="4">
        <v>1.0</v>
      </c>
      <c r="C7" s="4">
        <v>2.0</v>
      </c>
      <c r="D7" s="12">
        <v>6.2000411722E10</v>
      </c>
      <c r="E7" s="7">
        <v>0.14</v>
      </c>
      <c r="F7" s="5">
        <f t="shared" si="1"/>
        <v>0.28</v>
      </c>
      <c r="G7" s="8" t="s">
        <v>39</v>
      </c>
    </row>
    <row r="8" ht="22.5" customHeight="1">
      <c r="B8" s="13">
        <v>1.0</v>
      </c>
      <c r="C8" s="13">
        <v>2.0</v>
      </c>
      <c r="D8" s="14">
        <v>6.20004113322E11</v>
      </c>
      <c r="E8" s="15">
        <v>0.18</v>
      </c>
      <c r="F8" s="16">
        <f t="shared" si="1"/>
        <v>0.36</v>
      </c>
      <c r="G8" s="18" t="s">
        <v>46</v>
      </c>
    </row>
    <row r="9" ht="22.5" customHeight="1">
      <c r="B9" s="4">
        <v>4.0</v>
      </c>
      <c r="C9" s="4">
        <v>10.0</v>
      </c>
      <c r="D9" s="4" t="s">
        <v>52</v>
      </c>
      <c r="E9" s="7">
        <v>0.142</v>
      </c>
      <c r="F9" s="5">
        <f t="shared" si="1"/>
        <v>1.42</v>
      </c>
      <c r="G9" s="8" t="s">
        <v>55</v>
      </c>
    </row>
    <row r="10" ht="22.5" customHeight="1">
      <c r="B10" s="4">
        <v>1.0</v>
      </c>
      <c r="C10" s="4">
        <v>10.0</v>
      </c>
      <c r="D10" s="4" t="s">
        <v>58</v>
      </c>
      <c r="E10" s="7">
        <v>0.028</v>
      </c>
      <c r="F10" s="5">
        <f t="shared" si="1"/>
        <v>0.28</v>
      </c>
      <c r="G10" s="8" t="s">
        <v>61</v>
      </c>
    </row>
    <row r="11" ht="22.5" customHeight="1">
      <c r="B11" s="4">
        <v>1.0</v>
      </c>
      <c r="C11" s="4">
        <v>10.0</v>
      </c>
      <c r="D11" s="4" t="s">
        <v>63</v>
      </c>
      <c r="E11" s="7">
        <v>0.028</v>
      </c>
      <c r="F11" s="5">
        <f t="shared" si="1"/>
        <v>0.28</v>
      </c>
      <c r="G11" s="8" t="s">
        <v>65</v>
      </c>
    </row>
    <row r="12" ht="22.5" customHeight="1">
      <c r="B12" s="4">
        <v>1.0</v>
      </c>
      <c r="C12" s="4">
        <v>10.0</v>
      </c>
      <c r="D12" s="4" t="s">
        <v>69</v>
      </c>
      <c r="E12" s="7">
        <v>0.028</v>
      </c>
      <c r="F12" s="5">
        <f t="shared" si="1"/>
        <v>0.28</v>
      </c>
      <c r="G12" s="8" t="s">
        <v>70</v>
      </c>
    </row>
    <row r="13" ht="22.5" customHeight="1">
      <c r="B13" s="4">
        <v>1.0</v>
      </c>
      <c r="C13" s="4">
        <v>10.0</v>
      </c>
      <c r="D13" s="4" t="s">
        <v>73</v>
      </c>
      <c r="E13" s="7">
        <v>0.028</v>
      </c>
      <c r="F13" s="5">
        <f t="shared" si="1"/>
        <v>0.28</v>
      </c>
      <c r="G13" s="8" t="s">
        <v>75</v>
      </c>
    </row>
    <row r="14" ht="22.5" customHeight="1">
      <c r="B14" s="4">
        <v>2.0</v>
      </c>
      <c r="C14" s="4">
        <v>10.0</v>
      </c>
      <c r="D14" s="4" t="s">
        <v>77</v>
      </c>
      <c r="E14" s="7">
        <v>0.028</v>
      </c>
      <c r="F14" s="5">
        <f t="shared" si="1"/>
        <v>0.28</v>
      </c>
      <c r="G14" s="8" t="s">
        <v>79</v>
      </c>
    </row>
    <row r="15" ht="22.5" customHeight="1">
      <c r="B15" s="4">
        <v>1.0</v>
      </c>
      <c r="C15" s="4">
        <v>10.0</v>
      </c>
      <c r="D15" s="4" t="s">
        <v>81</v>
      </c>
      <c r="E15" s="7">
        <v>0.028</v>
      </c>
      <c r="F15" s="5">
        <f t="shared" si="1"/>
        <v>0.28</v>
      </c>
      <c r="G15" s="8" t="s">
        <v>82</v>
      </c>
    </row>
    <row r="16" ht="22.5" customHeight="1">
      <c r="B16" s="4">
        <v>2.0</v>
      </c>
      <c r="C16" s="4">
        <v>10.0</v>
      </c>
      <c r="D16" s="4" t="s">
        <v>83</v>
      </c>
      <c r="E16" s="7">
        <v>0.028</v>
      </c>
      <c r="F16" s="5">
        <f t="shared" si="1"/>
        <v>0.28</v>
      </c>
      <c r="G16" s="8" t="s">
        <v>84</v>
      </c>
    </row>
    <row r="17" ht="22.5" customHeight="1">
      <c r="B17" s="13">
        <v>1.0</v>
      </c>
      <c r="C17" s="13">
        <v>3.0</v>
      </c>
      <c r="D17" s="13" t="s">
        <v>83</v>
      </c>
      <c r="E17" s="15">
        <v>0.31</v>
      </c>
      <c r="F17" s="16">
        <f t="shared" si="1"/>
        <v>0.93</v>
      </c>
      <c r="G17" s="18" t="s">
        <v>85</v>
      </c>
    </row>
    <row r="18" ht="22.5" customHeight="1">
      <c r="B18" s="13">
        <v>1.0</v>
      </c>
      <c r="C18" s="13">
        <v>10.0</v>
      </c>
      <c r="D18" s="13" t="s">
        <v>86</v>
      </c>
      <c r="E18" s="15">
        <v>0.028</v>
      </c>
      <c r="F18" s="16">
        <f t="shared" si="1"/>
        <v>0.28</v>
      </c>
      <c r="G18" s="18" t="s">
        <v>87</v>
      </c>
    </row>
    <row r="19" ht="22.5" customHeight="1">
      <c r="B19" s="4">
        <v>1.0</v>
      </c>
      <c r="C19" s="4">
        <v>3.0</v>
      </c>
      <c r="D19" s="4" t="s">
        <v>88</v>
      </c>
      <c r="E19" s="15">
        <v>0.85</v>
      </c>
      <c r="F19" s="16">
        <f t="shared" si="1"/>
        <v>2.55</v>
      </c>
      <c r="G19" s="18" t="s">
        <v>89</v>
      </c>
    </row>
    <row r="20" ht="22.5" customHeight="1">
      <c r="B20" s="4">
        <v>2.0</v>
      </c>
      <c r="C20" s="4">
        <v>3.0</v>
      </c>
      <c r="D20" s="4" t="s">
        <v>90</v>
      </c>
      <c r="E20" s="15">
        <v>1.48</v>
      </c>
      <c r="F20" s="16">
        <f t="shared" si="1"/>
        <v>4.44</v>
      </c>
      <c r="G20" s="18" t="s">
        <v>91</v>
      </c>
    </row>
    <row r="21">
      <c r="E21" s="1"/>
      <c r="F21" s="1"/>
    </row>
    <row r="22">
      <c r="E22" s="20" t="s">
        <v>62</v>
      </c>
      <c r="F22" s="1">
        <f>SUM(Tabla_3[Precio Total])</f>
        <v>16.94</v>
      </c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  <row r="998">
      <c r="E998" s="1"/>
      <c r="F998" s="1"/>
    </row>
    <row r="999">
      <c r="E999" s="1"/>
      <c r="F999" s="1"/>
    </row>
    <row r="1000">
      <c r="E1000" s="1"/>
      <c r="F1000" s="1"/>
    </row>
    <row r="1001">
      <c r="E1001" s="1"/>
      <c r="F1001" s="1"/>
    </row>
    <row r="1002">
      <c r="E1002" s="1"/>
      <c r="F1002" s="1"/>
    </row>
  </sheetData>
  <dataValidations>
    <dataValidation type="custom" allowBlank="1" showDropDown="1" sqref="F3:F20">
      <formula1>AND(ISNUMBER(F3),(NOT(OR(NOT(ISERROR(DATEVALUE(F3))), AND(ISNUMBER(F3), LEFT(CELL("format", F3))="D")))))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</hyperlinks>
  <drawing r:id="rId19"/>
  <tableParts count="1"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3.88"/>
    <col customWidth="1" min="4" max="4" width="22.75"/>
    <col customWidth="1" min="5" max="5" width="16.38"/>
    <col customWidth="1" min="6" max="6" width="17.63"/>
    <col customWidth="1" min="7" max="7" width="37.63"/>
  </cols>
  <sheetData>
    <row r="1">
      <c r="E1" s="1"/>
      <c r="F1" s="1"/>
    </row>
    <row r="2" ht="22.5" customHeight="1"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2" t="s">
        <v>5</v>
      </c>
    </row>
    <row r="3" ht="22.5" customHeight="1">
      <c r="B3" s="4">
        <v>1.0</v>
      </c>
      <c r="C3" s="4">
        <v>2.0</v>
      </c>
      <c r="D3" s="24">
        <v>6.2000411722E10</v>
      </c>
      <c r="E3" s="7">
        <v>0.14</v>
      </c>
      <c r="F3" s="5">
        <f>C3*E3</f>
        <v>0.28</v>
      </c>
      <c r="G3" s="8" t="s">
        <v>94</v>
      </c>
    </row>
    <row r="4">
      <c r="E4" s="1"/>
      <c r="F4" s="1"/>
    </row>
    <row r="6">
      <c r="E6" s="20" t="s">
        <v>62</v>
      </c>
      <c r="F6" s="1">
        <f>SUM(Tabla_4[Precio Total])</f>
        <v>0.28</v>
      </c>
    </row>
    <row r="7">
      <c r="E7" s="1"/>
      <c r="F7" s="1"/>
    </row>
    <row r="8">
      <c r="E8" s="1"/>
      <c r="F8" s="1"/>
    </row>
    <row r="9">
      <c r="E9" s="1"/>
      <c r="F9" s="1"/>
    </row>
    <row r="10">
      <c r="E10" s="1"/>
      <c r="F10" s="1"/>
    </row>
    <row r="11">
      <c r="E11" s="1"/>
      <c r="F11" s="1"/>
    </row>
    <row r="12">
      <c r="E12" s="1"/>
      <c r="F12" s="1"/>
    </row>
    <row r="13">
      <c r="E13" s="1"/>
      <c r="F13" s="1"/>
    </row>
    <row r="14">
      <c r="E14" s="1"/>
      <c r="F14" s="1"/>
    </row>
    <row r="15">
      <c r="E15" s="1"/>
      <c r="F15" s="1"/>
    </row>
    <row r="16">
      <c r="E16" s="1"/>
      <c r="F16" s="1"/>
    </row>
    <row r="17">
      <c r="E17" s="1"/>
      <c r="F17" s="1"/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</sheetData>
  <dataValidations>
    <dataValidation type="custom" allowBlank="1" showDropDown="1" sqref="F3">
      <formula1>AND(ISNUMBER(F3),(NOT(OR(NOT(ISERROR(DATEVALUE(F3))), AND(ISNUMBER(F3), LEFT(CELL("format", F3))="D")))))</formula1>
    </dataValidation>
  </dataValidations>
  <hyperlinks>
    <hyperlink r:id="rId1" ref="G3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3" t="s">
        <v>92</v>
      </c>
      <c r="C2" s="25">
        <f>'Main PCB - LCSC'!F12+'Main PCB - Mouser'!F14</f>
        <v>32.5185</v>
      </c>
    </row>
    <row r="3">
      <c r="B3" s="23" t="s">
        <v>93</v>
      </c>
      <c r="C3" s="25">
        <f>'Heater PCB - LCSC'!F14+'Heater PCB - Mouser'!F22</f>
        <v>29.8933</v>
      </c>
    </row>
    <row r="4">
      <c r="B4" s="23" t="s">
        <v>95</v>
      </c>
      <c r="C4" s="23">
        <v>77.74</v>
      </c>
    </row>
    <row r="5">
      <c r="B5" s="23" t="s">
        <v>62</v>
      </c>
      <c r="C5" s="25">
        <f>SUM(C2:C4)</f>
        <v>140.1518</v>
      </c>
    </row>
  </sheetData>
  <drawing r:id="rId1"/>
</worksheet>
</file>